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Documents\Projects IA\PROJECT-cb-tools-ru\pay-gap-calculator\"/>
    </mc:Choice>
  </mc:AlternateContent>
  <xr:revisionPtr revIDLastSave="0" documentId="13_ncr:1_{7C3C0498-B4A3-4BB0-AA63-2BCDEBA6050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Настройки" sheetId="1" r:id="rId1"/>
    <sheet name="Данные" sheetId="2" r:id="rId2"/>
    <sheet name="Категории" sheetId="3" r:id="rId3"/>
    <sheet name="Итоги" sheetId="4" r:id="rId4"/>
    <sheet name="Пояснения" sheetId="5" r:id="rId5"/>
  </sheets>
  <definedNames>
    <definedName name="ceiling">Настройки!$B$11</definedName>
    <definedName name="implementation_month">Настройки!$B$8</definedName>
    <definedName name="rate_above">Настройки!$B$10</definedName>
    <definedName name="rate_below">Настройки!$B$9</definedName>
    <definedName name="threshold_pct">Настройки!$B$7</definedName>
  </definedNames>
  <calcPr calcId="181029"/>
</workbook>
</file>

<file path=xl/calcChain.xml><?xml version="1.0" encoding="utf-8"?>
<calcChain xmlns="http://schemas.openxmlformats.org/spreadsheetml/2006/main">
  <c r="B5" i="4" l="1"/>
  <c r="BG11" i="3"/>
  <c r="BF11" i="3"/>
  <c r="BE11" i="3"/>
  <c r="BC11" i="3"/>
  <c r="BB11" i="3"/>
  <c r="D11" i="3"/>
  <c r="C11" i="3"/>
  <c r="B11" i="3"/>
  <c r="BG10" i="3"/>
  <c r="BF10" i="3"/>
  <c r="BE10" i="3"/>
  <c r="BC10" i="3"/>
  <c r="BB10" i="3"/>
  <c r="D10" i="3"/>
  <c r="C10" i="3"/>
  <c r="B10" i="3"/>
  <c r="BG9" i="3"/>
  <c r="BF9" i="3"/>
  <c r="BE9" i="3"/>
  <c r="BC9" i="3"/>
  <c r="BB9" i="3"/>
  <c r="D9" i="3"/>
  <c r="C9" i="3"/>
  <c r="B9" i="3"/>
  <c r="BG8" i="3"/>
  <c r="BF8" i="3"/>
  <c r="BE8" i="3"/>
  <c r="BC8" i="3"/>
  <c r="BB8" i="3"/>
  <c r="D8" i="3"/>
  <c r="C8" i="3"/>
  <c r="B8" i="3"/>
  <c r="BG7" i="3"/>
  <c r="BF7" i="3"/>
  <c r="BE7" i="3"/>
  <c r="BC7" i="3"/>
  <c r="BB7" i="3"/>
  <c r="D7" i="3"/>
  <c r="C7" i="3"/>
  <c r="B7" i="3"/>
  <c r="BG6" i="3"/>
  <c r="BF6" i="3"/>
  <c r="BE6" i="3"/>
  <c r="BC6" i="3"/>
  <c r="BB6" i="3"/>
  <c r="D6" i="3"/>
  <c r="C6" i="3"/>
  <c r="B6" i="3"/>
  <c r="BG5" i="3"/>
  <c r="BF5" i="3"/>
  <c r="BE5" i="3"/>
  <c r="BC5" i="3"/>
  <c r="BB5" i="3"/>
  <c r="D5" i="3"/>
  <c r="C5" i="3"/>
  <c r="B5" i="3"/>
  <c r="AG216" i="2"/>
  <c r="AE216" i="2"/>
  <c r="N216" i="2"/>
  <c r="J216" i="2"/>
  <c r="AG215" i="2"/>
  <c r="AE215" i="2"/>
  <c r="N215" i="2"/>
  <c r="J215" i="2"/>
  <c r="AG214" i="2"/>
  <c r="AE214" i="2"/>
  <c r="N214" i="2"/>
  <c r="J214" i="2"/>
  <c r="AG213" i="2"/>
  <c r="AE213" i="2"/>
  <c r="N213" i="2"/>
  <c r="J213" i="2"/>
  <c r="AG212" i="2"/>
  <c r="AE212" i="2"/>
  <c r="N212" i="2"/>
  <c r="J212" i="2"/>
  <c r="AG211" i="2"/>
  <c r="AE211" i="2"/>
  <c r="N211" i="2"/>
  <c r="J211" i="2"/>
  <c r="AG210" i="2"/>
  <c r="AE210" i="2"/>
  <c r="N210" i="2"/>
  <c r="J210" i="2"/>
  <c r="AG209" i="2"/>
  <c r="AE209" i="2"/>
  <c r="N209" i="2"/>
  <c r="J209" i="2"/>
  <c r="AG208" i="2"/>
  <c r="AE208" i="2"/>
  <c r="N208" i="2"/>
  <c r="J208" i="2"/>
  <c r="AG207" i="2"/>
  <c r="AE207" i="2"/>
  <c r="N207" i="2"/>
  <c r="J207" i="2"/>
  <c r="AG206" i="2"/>
  <c r="AE206" i="2"/>
  <c r="N206" i="2"/>
  <c r="J206" i="2"/>
  <c r="AG205" i="2"/>
  <c r="AE205" i="2"/>
  <c r="N205" i="2"/>
  <c r="J205" i="2"/>
  <c r="AG204" i="2"/>
  <c r="AE204" i="2"/>
  <c r="N204" i="2"/>
  <c r="J204" i="2"/>
  <c r="AG203" i="2"/>
  <c r="AE203" i="2"/>
  <c r="N203" i="2"/>
  <c r="J203" i="2"/>
  <c r="AG202" i="2"/>
  <c r="AE202" i="2"/>
  <c r="N202" i="2"/>
  <c r="J202" i="2"/>
  <c r="AG201" i="2"/>
  <c r="AE201" i="2"/>
  <c r="N201" i="2"/>
  <c r="J201" i="2"/>
  <c r="AG200" i="2"/>
  <c r="AE200" i="2"/>
  <c r="N200" i="2"/>
  <c r="J200" i="2"/>
  <c r="AG199" i="2"/>
  <c r="AE199" i="2"/>
  <c r="N199" i="2"/>
  <c r="J199" i="2"/>
  <c r="AG198" i="2"/>
  <c r="AE198" i="2"/>
  <c r="N198" i="2"/>
  <c r="J198" i="2"/>
  <c r="AG197" i="2"/>
  <c r="AE197" i="2"/>
  <c r="N197" i="2"/>
  <c r="J197" i="2"/>
  <c r="AG196" i="2"/>
  <c r="AE196" i="2"/>
  <c r="N196" i="2"/>
  <c r="J196" i="2"/>
  <c r="AG195" i="2"/>
  <c r="AE195" i="2"/>
  <c r="N195" i="2"/>
  <c r="J195" i="2"/>
  <c r="AG194" i="2"/>
  <c r="AE194" i="2"/>
  <c r="N194" i="2"/>
  <c r="J194" i="2"/>
  <c r="AG193" i="2"/>
  <c r="AE193" i="2"/>
  <c r="N193" i="2"/>
  <c r="J193" i="2"/>
  <c r="AG192" i="2"/>
  <c r="AE192" i="2"/>
  <c r="N192" i="2"/>
  <c r="J192" i="2"/>
  <c r="AG191" i="2"/>
  <c r="AE191" i="2"/>
  <c r="N191" i="2"/>
  <c r="J191" i="2"/>
  <c r="AG190" i="2"/>
  <c r="AE190" i="2"/>
  <c r="N190" i="2"/>
  <c r="J190" i="2"/>
  <c r="AG189" i="2"/>
  <c r="AE189" i="2"/>
  <c r="N189" i="2"/>
  <c r="J189" i="2"/>
  <c r="AG188" i="2"/>
  <c r="AE188" i="2"/>
  <c r="N188" i="2"/>
  <c r="J188" i="2"/>
  <c r="AG187" i="2"/>
  <c r="AE187" i="2"/>
  <c r="N187" i="2"/>
  <c r="J187" i="2"/>
  <c r="AG186" i="2"/>
  <c r="AE186" i="2"/>
  <c r="N186" i="2"/>
  <c r="J186" i="2"/>
  <c r="AG185" i="2"/>
  <c r="AE185" i="2"/>
  <c r="N185" i="2"/>
  <c r="J185" i="2"/>
  <c r="AG184" i="2"/>
  <c r="AE184" i="2"/>
  <c r="N184" i="2"/>
  <c r="J184" i="2"/>
  <c r="AG183" i="2"/>
  <c r="AE183" i="2"/>
  <c r="N183" i="2"/>
  <c r="J183" i="2"/>
  <c r="AG182" i="2"/>
  <c r="AE182" i="2"/>
  <c r="N182" i="2"/>
  <c r="J182" i="2"/>
  <c r="AG181" i="2"/>
  <c r="AE181" i="2"/>
  <c r="N181" i="2"/>
  <c r="J181" i="2"/>
  <c r="AG180" i="2"/>
  <c r="AE180" i="2"/>
  <c r="N180" i="2"/>
  <c r="J180" i="2"/>
  <c r="AG179" i="2"/>
  <c r="AE179" i="2"/>
  <c r="N179" i="2"/>
  <c r="J179" i="2"/>
  <c r="AG178" i="2"/>
  <c r="AE178" i="2"/>
  <c r="N178" i="2"/>
  <c r="J178" i="2"/>
  <c r="AG177" i="2"/>
  <c r="AE177" i="2"/>
  <c r="N177" i="2"/>
  <c r="J177" i="2"/>
  <c r="AG176" i="2"/>
  <c r="AE176" i="2"/>
  <c r="N176" i="2"/>
  <c r="J176" i="2"/>
  <c r="AG175" i="2"/>
  <c r="AE175" i="2"/>
  <c r="N175" i="2"/>
  <c r="J175" i="2"/>
  <c r="AG174" i="2"/>
  <c r="AE174" i="2"/>
  <c r="N174" i="2"/>
  <c r="J174" i="2"/>
  <c r="AG173" i="2"/>
  <c r="AE173" i="2"/>
  <c r="N173" i="2"/>
  <c r="J173" i="2"/>
  <c r="AG172" i="2"/>
  <c r="AE172" i="2"/>
  <c r="N172" i="2"/>
  <c r="J172" i="2"/>
  <c r="AG171" i="2"/>
  <c r="AE171" i="2"/>
  <c r="N171" i="2"/>
  <c r="J171" i="2"/>
  <c r="AG170" i="2"/>
  <c r="AE170" i="2"/>
  <c r="N170" i="2"/>
  <c r="J170" i="2"/>
  <c r="AG169" i="2"/>
  <c r="AE169" i="2"/>
  <c r="N169" i="2"/>
  <c r="J169" i="2"/>
  <c r="AG168" i="2"/>
  <c r="AE168" i="2"/>
  <c r="N168" i="2"/>
  <c r="J168" i="2"/>
  <c r="AG167" i="2"/>
  <c r="AE167" i="2"/>
  <c r="N167" i="2"/>
  <c r="J167" i="2"/>
  <c r="AG166" i="2"/>
  <c r="AE166" i="2"/>
  <c r="N166" i="2"/>
  <c r="J166" i="2"/>
  <c r="AG165" i="2"/>
  <c r="AE165" i="2"/>
  <c r="N165" i="2"/>
  <c r="J165" i="2"/>
  <c r="AG164" i="2"/>
  <c r="AE164" i="2"/>
  <c r="N164" i="2"/>
  <c r="J164" i="2"/>
  <c r="AG163" i="2"/>
  <c r="AE163" i="2"/>
  <c r="N163" i="2"/>
  <c r="J163" i="2"/>
  <c r="AG162" i="2"/>
  <c r="AE162" i="2"/>
  <c r="N162" i="2"/>
  <c r="J162" i="2"/>
  <c r="AG161" i="2"/>
  <c r="AE161" i="2"/>
  <c r="N161" i="2"/>
  <c r="J161" i="2"/>
  <c r="AG160" i="2"/>
  <c r="AE160" i="2"/>
  <c r="N160" i="2"/>
  <c r="J160" i="2"/>
  <c r="AG159" i="2"/>
  <c r="AE159" i="2"/>
  <c r="N159" i="2"/>
  <c r="J159" i="2"/>
  <c r="AG158" i="2"/>
  <c r="AE158" i="2"/>
  <c r="N158" i="2"/>
  <c r="J158" i="2"/>
  <c r="AG157" i="2"/>
  <c r="AE157" i="2"/>
  <c r="N157" i="2"/>
  <c r="J157" i="2"/>
  <c r="AG156" i="2"/>
  <c r="AE156" i="2"/>
  <c r="N156" i="2"/>
  <c r="J156" i="2"/>
  <c r="AG155" i="2"/>
  <c r="AE155" i="2"/>
  <c r="N155" i="2"/>
  <c r="J155" i="2"/>
  <c r="AG154" i="2"/>
  <c r="AE154" i="2"/>
  <c r="N154" i="2"/>
  <c r="J154" i="2"/>
  <c r="AG153" i="2"/>
  <c r="AE153" i="2"/>
  <c r="N153" i="2"/>
  <c r="J153" i="2"/>
  <c r="AG152" i="2"/>
  <c r="AE152" i="2"/>
  <c r="N152" i="2"/>
  <c r="J152" i="2"/>
  <c r="AG151" i="2"/>
  <c r="AE151" i="2"/>
  <c r="N151" i="2"/>
  <c r="J151" i="2"/>
  <c r="AG150" i="2"/>
  <c r="AE150" i="2"/>
  <c r="N150" i="2"/>
  <c r="J150" i="2"/>
  <c r="AG149" i="2"/>
  <c r="AE149" i="2"/>
  <c r="N149" i="2"/>
  <c r="J149" i="2"/>
  <c r="AG148" i="2"/>
  <c r="AE148" i="2"/>
  <c r="N148" i="2"/>
  <c r="J148" i="2"/>
  <c r="AG147" i="2"/>
  <c r="AE147" i="2"/>
  <c r="N147" i="2"/>
  <c r="J147" i="2"/>
  <c r="AG146" i="2"/>
  <c r="AE146" i="2"/>
  <c r="N146" i="2"/>
  <c r="J146" i="2"/>
  <c r="AG145" i="2"/>
  <c r="AE145" i="2"/>
  <c r="N145" i="2"/>
  <c r="J145" i="2"/>
  <c r="AG144" i="2"/>
  <c r="AE144" i="2"/>
  <c r="N144" i="2"/>
  <c r="J144" i="2"/>
  <c r="AG143" i="2"/>
  <c r="AE143" i="2"/>
  <c r="N143" i="2"/>
  <c r="J143" i="2"/>
  <c r="AG142" i="2"/>
  <c r="AE142" i="2"/>
  <c r="N142" i="2"/>
  <c r="J142" i="2"/>
  <c r="AG141" i="2"/>
  <c r="AE141" i="2"/>
  <c r="N141" i="2"/>
  <c r="J141" i="2"/>
  <c r="AG140" i="2"/>
  <c r="AE140" i="2"/>
  <c r="N140" i="2"/>
  <c r="J140" i="2"/>
  <c r="AG139" i="2"/>
  <c r="AE139" i="2"/>
  <c r="N139" i="2"/>
  <c r="J139" i="2"/>
  <c r="AG138" i="2"/>
  <c r="AE138" i="2"/>
  <c r="N138" i="2"/>
  <c r="J138" i="2"/>
  <c r="AG137" i="2"/>
  <c r="AE137" i="2"/>
  <c r="N137" i="2"/>
  <c r="J137" i="2"/>
  <c r="AG136" i="2"/>
  <c r="AE136" i="2"/>
  <c r="N136" i="2"/>
  <c r="J136" i="2"/>
  <c r="AG135" i="2"/>
  <c r="AE135" i="2"/>
  <c r="N135" i="2"/>
  <c r="J135" i="2"/>
  <c r="AG134" i="2"/>
  <c r="AE134" i="2"/>
  <c r="N134" i="2"/>
  <c r="J134" i="2"/>
  <c r="AG133" i="2"/>
  <c r="AE133" i="2"/>
  <c r="N133" i="2"/>
  <c r="J133" i="2"/>
  <c r="AG132" i="2"/>
  <c r="AE132" i="2"/>
  <c r="N132" i="2"/>
  <c r="J132" i="2"/>
  <c r="AG131" i="2"/>
  <c r="AE131" i="2"/>
  <c r="N131" i="2"/>
  <c r="J131" i="2"/>
  <c r="AG130" i="2"/>
  <c r="AE130" i="2"/>
  <c r="N130" i="2"/>
  <c r="J130" i="2"/>
  <c r="AG129" i="2"/>
  <c r="AE129" i="2"/>
  <c r="N129" i="2"/>
  <c r="J129" i="2"/>
  <c r="AG128" i="2"/>
  <c r="AE128" i="2"/>
  <c r="N128" i="2"/>
  <c r="J128" i="2"/>
  <c r="AG127" i="2"/>
  <c r="AE127" i="2"/>
  <c r="N127" i="2"/>
  <c r="J127" i="2"/>
  <c r="AG126" i="2"/>
  <c r="AE126" i="2"/>
  <c r="N126" i="2"/>
  <c r="J126" i="2"/>
  <c r="AG125" i="2"/>
  <c r="AE125" i="2"/>
  <c r="N125" i="2"/>
  <c r="J125" i="2"/>
  <c r="AG124" i="2"/>
  <c r="AE124" i="2"/>
  <c r="N124" i="2"/>
  <c r="J124" i="2"/>
  <c r="AG123" i="2"/>
  <c r="AE123" i="2"/>
  <c r="N123" i="2"/>
  <c r="J123" i="2"/>
  <c r="AG122" i="2"/>
  <c r="AE122" i="2"/>
  <c r="N122" i="2"/>
  <c r="J122" i="2"/>
  <c r="AG121" i="2"/>
  <c r="AE121" i="2"/>
  <c r="N121" i="2"/>
  <c r="J121" i="2"/>
  <c r="AG120" i="2"/>
  <c r="AE120" i="2"/>
  <c r="N120" i="2"/>
  <c r="J120" i="2"/>
  <c r="AG119" i="2"/>
  <c r="AE119" i="2"/>
  <c r="N119" i="2"/>
  <c r="J119" i="2"/>
  <c r="AG118" i="2"/>
  <c r="AE118" i="2"/>
  <c r="N118" i="2"/>
  <c r="J118" i="2"/>
  <c r="AG117" i="2"/>
  <c r="AE117" i="2"/>
  <c r="N117" i="2"/>
  <c r="J117" i="2"/>
  <c r="AG116" i="2"/>
  <c r="AE116" i="2"/>
  <c r="N116" i="2"/>
  <c r="J116" i="2"/>
  <c r="AG115" i="2"/>
  <c r="AE115" i="2"/>
  <c r="N115" i="2"/>
  <c r="J115" i="2"/>
  <c r="AG114" i="2"/>
  <c r="AE114" i="2"/>
  <c r="N114" i="2"/>
  <c r="J114" i="2"/>
  <c r="AG113" i="2"/>
  <c r="AE113" i="2"/>
  <c r="N113" i="2"/>
  <c r="J113" i="2"/>
  <c r="AG112" i="2"/>
  <c r="AE112" i="2"/>
  <c r="N112" i="2"/>
  <c r="J112" i="2"/>
  <c r="AG111" i="2"/>
  <c r="AE111" i="2"/>
  <c r="N111" i="2"/>
  <c r="J111" i="2"/>
  <c r="AG110" i="2"/>
  <c r="AE110" i="2"/>
  <c r="N110" i="2"/>
  <c r="J110" i="2"/>
  <c r="AG109" i="2"/>
  <c r="AE109" i="2"/>
  <c r="N109" i="2"/>
  <c r="J109" i="2"/>
  <c r="AG108" i="2"/>
  <c r="AE108" i="2"/>
  <c r="N108" i="2"/>
  <c r="J108" i="2"/>
  <c r="AG107" i="2"/>
  <c r="AE107" i="2"/>
  <c r="N107" i="2"/>
  <c r="J107" i="2"/>
  <c r="AG106" i="2"/>
  <c r="AE106" i="2"/>
  <c r="N106" i="2"/>
  <c r="J106" i="2"/>
  <c r="AG105" i="2"/>
  <c r="AE105" i="2"/>
  <c r="N105" i="2"/>
  <c r="J105" i="2"/>
  <c r="AG104" i="2"/>
  <c r="AE104" i="2"/>
  <c r="N104" i="2"/>
  <c r="J104" i="2"/>
  <c r="AG103" i="2"/>
  <c r="AE103" i="2"/>
  <c r="N103" i="2"/>
  <c r="J103" i="2"/>
  <c r="AG102" i="2"/>
  <c r="AE102" i="2"/>
  <c r="N102" i="2"/>
  <c r="J102" i="2"/>
  <c r="AG101" i="2"/>
  <c r="AE101" i="2"/>
  <c r="N101" i="2"/>
  <c r="J101" i="2"/>
  <c r="AG100" i="2"/>
  <c r="AE100" i="2"/>
  <c r="N100" i="2"/>
  <c r="J100" i="2"/>
  <c r="AG99" i="2"/>
  <c r="AE99" i="2"/>
  <c r="N99" i="2"/>
  <c r="J99" i="2"/>
  <c r="AG98" i="2"/>
  <c r="AE98" i="2"/>
  <c r="N98" i="2"/>
  <c r="J98" i="2"/>
  <c r="AG97" i="2"/>
  <c r="AE97" i="2"/>
  <c r="N97" i="2"/>
  <c r="J97" i="2"/>
  <c r="AG96" i="2"/>
  <c r="AE96" i="2"/>
  <c r="N96" i="2"/>
  <c r="J96" i="2"/>
  <c r="AG95" i="2"/>
  <c r="AE95" i="2"/>
  <c r="N95" i="2"/>
  <c r="J95" i="2"/>
  <c r="AG94" i="2"/>
  <c r="AE94" i="2"/>
  <c r="N94" i="2"/>
  <c r="J94" i="2"/>
  <c r="AG93" i="2"/>
  <c r="AE93" i="2"/>
  <c r="N93" i="2"/>
  <c r="J93" i="2"/>
  <c r="AG92" i="2"/>
  <c r="AE92" i="2"/>
  <c r="N92" i="2"/>
  <c r="J92" i="2"/>
  <c r="AG91" i="2"/>
  <c r="AE91" i="2"/>
  <c r="N91" i="2"/>
  <c r="J91" i="2"/>
  <c r="AG90" i="2"/>
  <c r="AE90" i="2"/>
  <c r="N90" i="2"/>
  <c r="J90" i="2"/>
  <c r="AG89" i="2"/>
  <c r="AE89" i="2"/>
  <c r="N89" i="2"/>
  <c r="J89" i="2"/>
  <c r="AG88" i="2"/>
  <c r="AE88" i="2"/>
  <c r="N88" i="2"/>
  <c r="J88" i="2"/>
  <c r="AG87" i="2"/>
  <c r="AE87" i="2"/>
  <c r="N87" i="2"/>
  <c r="J87" i="2"/>
  <c r="AG86" i="2"/>
  <c r="AE86" i="2"/>
  <c r="N86" i="2"/>
  <c r="J86" i="2"/>
  <c r="AG85" i="2"/>
  <c r="AE85" i="2"/>
  <c r="N85" i="2"/>
  <c r="J85" i="2"/>
  <c r="AG84" i="2"/>
  <c r="AE84" i="2"/>
  <c r="N84" i="2"/>
  <c r="J84" i="2"/>
  <c r="AG83" i="2"/>
  <c r="AE83" i="2"/>
  <c r="N83" i="2"/>
  <c r="J83" i="2"/>
  <c r="AG82" i="2"/>
  <c r="AE82" i="2"/>
  <c r="N82" i="2"/>
  <c r="J82" i="2"/>
  <c r="AG81" i="2"/>
  <c r="AE81" i="2"/>
  <c r="N81" i="2"/>
  <c r="J81" i="2"/>
  <c r="AG80" i="2"/>
  <c r="AE80" i="2"/>
  <c r="N80" i="2"/>
  <c r="J80" i="2"/>
  <c r="AG79" i="2"/>
  <c r="AE79" i="2"/>
  <c r="N79" i="2"/>
  <c r="J79" i="2"/>
  <c r="AG78" i="2"/>
  <c r="AE78" i="2"/>
  <c r="N78" i="2"/>
  <c r="J78" i="2"/>
  <c r="AG77" i="2"/>
  <c r="AE77" i="2"/>
  <c r="N77" i="2"/>
  <c r="J77" i="2"/>
  <c r="AG76" i="2"/>
  <c r="AE76" i="2"/>
  <c r="N76" i="2"/>
  <c r="J76" i="2"/>
  <c r="AG75" i="2"/>
  <c r="AE75" i="2"/>
  <c r="N75" i="2"/>
  <c r="J75" i="2"/>
  <c r="AG74" i="2"/>
  <c r="AE74" i="2"/>
  <c r="N74" i="2"/>
  <c r="J74" i="2"/>
  <c r="AG73" i="2"/>
  <c r="AE73" i="2"/>
  <c r="N73" i="2"/>
  <c r="J73" i="2"/>
  <c r="AG72" i="2"/>
  <c r="AE72" i="2"/>
  <c r="N72" i="2"/>
  <c r="J72" i="2"/>
  <c r="AG71" i="2"/>
  <c r="AE71" i="2"/>
  <c r="N71" i="2"/>
  <c r="J71" i="2"/>
  <c r="AG70" i="2"/>
  <c r="AE70" i="2"/>
  <c r="N70" i="2"/>
  <c r="J70" i="2"/>
  <c r="AG69" i="2"/>
  <c r="AE69" i="2"/>
  <c r="N69" i="2"/>
  <c r="J69" i="2"/>
  <c r="AG68" i="2"/>
  <c r="AE68" i="2"/>
  <c r="N68" i="2"/>
  <c r="J68" i="2"/>
  <c r="AG67" i="2"/>
  <c r="AE67" i="2"/>
  <c r="N67" i="2"/>
  <c r="J67" i="2"/>
  <c r="AG66" i="2"/>
  <c r="AE66" i="2"/>
  <c r="N66" i="2"/>
  <c r="J66" i="2"/>
  <c r="AG65" i="2"/>
  <c r="AE65" i="2"/>
  <c r="N65" i="2"/>
  <c r="J65" i="2"/>
  <c r="AG64" i="2"/>
  <c r="AE64" i="2"/>
  <c r="N64" i="2"/>
  <c r="J64" i="2"/>
  <c r="AG63" i="2"/>
  <c r="AE63" i="2"/>
  <c r="N63" i="2"/>
  <c r="J63" i="2"/>
  <c r="AG62" i="2"/>
  <c r="AE62" i="2"/>
  <c r="N62" i="2"/>
  <c r="J62" i="2"/>
  <c r="AG61" i="2"/>
  <c r="AE61" i="2"/>
  <c r="N61" i="2"/>
  <c r="J61" i="2"/>
  <c r="AG60" i="2"/>
  <c r="AE60" i="2"/>
  <c r="N60" i="2"/>
  <c r="J60" i="2"/>
  <c r="AG59" i="2"/>
  <c r="AE59" i="2"/>
  <c r="N59" i="2"/>
  <c r="J59" i="2"/>
  <c r="AG58" i="2"/>
  <c r="AE58" i="2"/>
  <c r="N58" i="2"/>
  <c r="J58" i="2"/>
  <c r="AG57" i="2"/>
  <c r="AE57" i="2"/>
  <c r="N57" i="2"/>
  <c r="J57" i="2"/>
  <c r="AG56" i="2"/>
  <c r="AE56" i="2"/>
  <c r="N56" i="2"/>
  <c r="J56" i="2"/>
  <c r="AG55" i="2"/>
  <c r="AE55" i="2"/>
  <c r="N55" i="2"/>
  <c r="J55" i="2"/>
  <c r="AG54" i="2"/>
  <c r="AE54" i="2"/>
  <c r="N54" i="2"/>
  <c r="J54" i="2"/>
  <c r="AG53" i="2"/>
  <c r="AE53" i="2"/>
  <c r="N53" i="2"/>
  <c r="J53" i="2"/>
  <c r="AG52" i="2"/>
  <c r="AE52" i="2"/>
  <c r="N52" i="2"/>
  <c r="J52" i="2"/>
  <c r="AG51" i="2"/>
  <c r="AE51" i="2"/>
  <c r="N51" i="2"/>
  <c r="J51" i="2"/>
  <c r="AG50" i="2"/>
  <c r="AE50" i="2"/>
  <c r="N50" i="2"/>
  <c r="J50" i="2"/>
  <c r="AG49" i="2"/>
  <c r="AE49" i="2"/>
  <c r="N49" i="2"/>
  <c r="J49" i="2"/>
  <c r="AG48" i="2"/>
  <c r="AE48" i="2"/>
  <c r="N48" i="2"/>
  <c r="J48" i="2"/>
  <c r="AG47" i="2"/>
  <c r="AE47" i="2"/>
  <c r="N47" i="2"/>
  <c r="J47" i="2"/>
  <c r="AG46" i="2"/>
  <c r="AE46" i="2"/>
  <c r="N46" i="2"/>
  <c r="J46" i="2"/>
  <c r="AG45" i="2"/>
  <c r="AE45" i="2"/>
  <c r="N45" i="2"/>
  <c r="J45" i="2"/>
  <c r="AG44" i="2"/>
  <c r="AE44" i="2"/>
  <c r="N44" i="2"/>
  <c r="J44" i="2"/>
  <c r="AG43" i="2"/>
  <c r="AE43" i="2"/>
  <c r="N43" i="2"/>
  <c r="J43" i="2"/>
  <c r="AG42" i="2"/>
  <c r="AE42" i="2"/>
  <c r="N42" i="2"/>
  <c r="J42" i="2"/>
  <c r="AG41" i="2"/>
  <c r="AE41" i="2"/>
  <c r="N41" i="2"/>
  <c r="J41" i="2"/>
  <c r="AG40" i="2"/>
  <c r="AE40" i="2"/>
  <c r="N40" i="2"/>
  <c r="J40" i="2"/>
  <c r="AG39" i="2"/>
  <c r="AE39" i="2"/>
  <c r="N39" i="2"/>
  <c r="J39" i="2"/>
  <c r="AG38" i="2"/>
  <c r="AE38" i="2"/>
  <c r="N38" i="2"/>
  <c r="J38" i="2"/>
  <c r="AG37" i="2"/>
  <c r="AE37" i="2"/>
  <c r="N37" i="2"/>
  <c r="J37" i="2"/>
  <c r="AG36" i="2"/>
  <c r="AE36" i="2"/>
  <c r="N36" i="2"/>
  <c r="J36" i="2"/>
  <c r="AG35" i="2"/>
  <c r="AE35" i="2"/>
  <c r="N35" i="2"/>
  <c r="J35" i="2"/>
  <c r="AG34" i="2"/>
  <c r="AE34" i="2"/>
  <c r="N34" i="2"/>
  <c r="J34" i="2"/>
  <c r="AG33" i="2"/>
  <c r="AE33" i="2"/>
  <c r="N33" i="2"/>
  <c r="J33" i="2"/>
  <c r="AG32" i="2"/>
  <c r="AE32" i="2"/>
  <c r="N32" i="2"/>
  <c r="J32" i="2"/>
  <c r="AG31" i="2"/>
  <c r="AE31" i="2"/>
  <c r="N31" i="2"/>
  <c r="J31" i="2"/>
  <c r="AG30" i="2"/>
  <c r="AE30" i="2"/>
  <c r="N30" i="2"/>
  <c r="J30" i="2"/>
  <c r="AG29" i="2"/>
  <c r="AE29" i="2"/>
  <c r="N29" i="2"/>
  <c r="J29" i="2"/>
  <c r="AG28" i="2"/>
  <c r="AE28" i="2"/>
  <c r="N28" i="2"/>
  <c r="J28" i="2"/>
  <c r="AG27" i="2"/>
  <c r="AE27" i="2"/>
  <c r="N27" i="2"/>
  <c r="J27" i="2"/>
  <c r="AG26" i="2"/>
  <c r="AE26" i="2"/>
  <c r="N26" i="2"/>
  <c r="J26" i="2"/>
  <c r="AG25" i="2"/>
  <c r="AE25" i="2"/>
  <c r="N25" i="2"/>
  <c r="J25" i="2"/>
  <c r="AG24" i="2"/>
  <c r="AE24" i="2"/>
  <c r="N24" i="2"/>
  <c r="J24" i="2"/>
  <c r="AG23" i="2"/>
  <c r="AE23" i="2"/>
  <c r="N23" i="2"/>
  <c r="J23" i="2"/>
  <c r="AG22" i="2"/>
  <c r="AE22" i="2"/>
  <c r="N22" i="2"/>
  <c r="J22" i="2"/>
  <c r="AG21" i="2"/>
  <c r="AE21" i="2"/>
  <c r="N21" i="2"/>
  <c r="J21" i="2"/>
  <c r="AG20" i="2"/>
  <c r="AE20" i="2"/>
  <c r="N20" i="2"/>
  <c r="J20" i="2"/>
  <c r="AG19" i="2"/>
  <c r="AE19" i="2"/>
  <c r="N19" i="2"/>
  <c r="J19" i="2"/>
  <c r="AG18" i="2"/>
  <c r="AE18" i="2"/>
  <c r="N18" i="2"/>
  <c r="J18" i="2"/>
  <c r="AG17" i="2"/>
  <c r="AE17" i="2"/>
  <c r="N17" i="2"/>
  <c r="J17" i="2"/>
  <c r="AG16" i="2"/>
  <c r="AE16" i="2"/>
  <c r="N16" i="2"/>
  <c r="J16" i="2"/>
  <c r="AG15" i="2"/>
  <c r="AE15" i="2"/>
  <c r="N15" i="2"/>
  <c r="J15" i="2"/>
  <c r="AG14" i="2"/>
  <c r="AE14" i="2"/>
  <c r="N14" i="2"/>
  <c r="J14" i="2"/>
  <c r="AG13" i="2"/>
  <c r="AE13" i="2"/>
  <c r="N13" i="2"/>
  <c r="J13" i="2"/>
  <c r="AG12" i="2"/>
  <c r="AE12" i="2"/>
  <c r="N12" i="2"/>
  <c r="J12" i="2"/>
  <c r="AG11" i="2"/>
  <c r="AE11" i="2"/>
  <c r="N11" i="2"/>
  <c r="J11" i="2"/>
  <c r="AG10" i="2"/>
  <c r="AE10" i="2"/>
  <c r="N10" i="2"/>
  <c r="J10" i="2"/>
  <c r="AG9" i="2"/>
  <c r="AE9" i="2"/>
  <c r="N9" i="2"/>
  <c r="J9" i="2"/>
  <c r="AG8" i="2"/>
  <c r="AE8" i="2"/>
  <c r="N8" i="2"/>
  <c r="J8" i="2"/>
  <c r="AG7" i="2"/>
  <c r="AE7" i="2"/>
  <c r="N7" i="2"/>
  <c r="J7" i="2"/>
  <c r="AG6" i="2"/>
  <c r="AE6" i="2"/>
  <c r="N6" i="2"/>
  <c r="J6" i="2"/>
  <c r="AG5" i="2"/>
  <c r="AE5" i="2"/>
  <c r="N5" i="2"/>
  <c r="B4" i="4" s="1"/>
  <c r="J5" i="2"/>
  <c r="K88" i="2" l="1"/>
  <c r="L88" i="2"/>
  <c r="M88" i="2" s="1"/>
  <c r="R11" i="3"/>
  <c r="AP11" i="3"/>
  <c r="BA11" i="3"/>
  <c r="S11" i="3"/>
  <c r="O10" i="3"/>
  <c r="L10" i="3"/>
  <c r="P10" i="3"/>
  <c r="M10" i="3"/>
  <c r="R10" i="3"/>
  <c r="T10" i="3" s="1"/>
  <c r="S10" i="3"/>
  <c r="AP10" i="3"/>
  <c r="BA10" i="3"/>
  <c r="L9" i="3"/>
  <c r="O9" i="3"/>
  <c r="P9" i="3"/>
  <c r="M9" i="3"/>
  <c r="R9" i="3"/>
  <c r="T9" i="3" s="1"/>
  <c r="BA9" i="3"/>
  <c r="S9" i="3"/>
  <c r="AP9" i="3"/>
  <c r="L8" i="3"/>
  <c r="O8" i="3"/>
  <c r="M8" i="3"/>
  <c r="P8" i="3"/>
  <c r="S8" i="3"/>
  <c r="AP8" i="3"/>
  <c r="BA8" i="3"/>
  <c r="R8" i="3"/>
  <c r="T8" i="3" s="1"/>
  <c r="L7" i="3"/>
  <c r="O7" i="3"/>
  <c r="P7" i="3"/>
  <c r="M7" i="3"/>
  <c r="R7" i="3"/>
  <c r="T7" i="3" s="1"/>
  <c r="AP7" i="3"/>
  <c r="BA7" i="3"/>
  <c r="S7" i="3"/>
  <c r="L6" i="3"/>
  <c r="O6" i="3"/>
  <c r="P6" i="3"/>
  <c r="M6" i="3"/>
  <c r="AP6" i="3"/>
  <c r="R6" i="3"/>
  <c r="S6" i="3"/>
  <c r="BA6" i="3"/>
  <c r="O5" i="3"/>
  <c r="L5" i="3"/>
  <c r="M5" i="3"/>
  <c r="P5" i="3"/>
  <c r="BA5" i="3"/>
  <c r="AP5" i="3"/>
  <c r="S5" i="3"/>
  <c r="R5" i="3"/>
  <c r="L216" i="2"/>
  <c r="K216" i="2"/>
  <c r="M216" i="2" s="1"/>
  <c r="L215" i="2"/>
  <c r="K215" i="2"/>
  <c r="M215" i="2" s="1"/>
  <c r="K214" i="2"/>
  <c r="L214" i="2"/>
  <c r="L213" i="2"/>
  <c r="K213" i="2"/>
  <c r="M213" i="2" s="1"/>
  <c r="K212" i="2"/>
  <c r="O11" i="3" s="1"/>
  <c r="L212" i="2"/>
  <c r="L11" i="3" s="1"/>
  <c r="L211" i="2"/>
  <c r="K211" i="2"/>
  <c r="M211" i="2" s="1"/>
  <c r="L210" i="2"/>
  <c r="K210" i="2"/>
  <c r="M210" i="2" s="1"/>
  <c r="L209" i="2"/>
  <c r="K209" i="2"/>
  <c r="M209" i="2" s="1"/>
  <c r="K208" i="2"/>
  <c r="L208" i="2"/>
  <c r="L207" i="2"/>
  <c r="K207" i="2"/>
  <c r="M207" i="2" s="1"/>
  <c r="L206" i="2"/>
  <c r="K206" i="2"/>
  <c r="M206" i="2" s="1"/>
  <c r="K205" i="2"/>
  <c r="L205" i="2"/>
  <c r="K204" i="2"/>
  <c r="L204" i="2"/>
  <c r="L203" i="2"/>
  <c r="M11" i="3" s="1"/>
  <c r="N11" i="3" s="1"/>
  <c r="K203" i="2"/>
  <c r="K202" i="2"/>
  <c r="L202" i="2"/>
  <c r="K201" i="2"/>
  <c r="L201" i="2"/>
  <c r="L200" i="2"/>
  <c r="K200" i="2"/>
  <c r="M200" i="2" s="1"/>
  <c r="K199" i="2"/>
  <c r="L199" i="2"/>
  <c r="K198" i="2"/>
  <c r="L198" i="2"/>
  <c r="L197" i="2"/>
  <c r="K197" i="2"/>
  <c r="M197" i="2" s="1"/>
  <c r="L196" i="2"/>
  <c r="K196" i="2"/>
  <c r="M196" i="2" s="1"/>
  <c r="K195" i="2"/>
  <c r="L195" i="2"/>
  <c r="K194" i="2"/>
  <c r="L194" i="2"/>
  <c r="K193" i="2"/>
  <c r="L193" i="2"/>
  <c r="K192" i="2"/>
  <c r="L192" i="2"/>
  <c r="K191" i="2"/>
  <c r="L191" i="2"/>
  <c r="L190" i="2"/>
  <c r="K190" i="2"/>
  <c r="M190" i="2" s="1"/>
  <c r="K189" i="2"/>
  <c r="L189" i="2"/>
  <c r="K188" i="2"/>
  <c r="L188" i="2"/>
  <c r="K187" i="2"/>
  <c r="L187" i="2"/>
  <c r="K186" i="2"/>
  <c r="L186" i="2"/>
  <c r="K185" i="2"/>
  <c r="L185" i="2"/>
  <c r="K184" i="2"/>
  <c r="L184" i="2"/>
  <c r="K183" i="2"/>
  <c r="L183" i="2"/>
  <c r="K182" i="2"/>
  <c r="L182" i="2"/>
  <c r="L181" i="2"/>
  <c r="K181" i="2"/>
  <c r="M181" i="2" s="1"/>
  <c r="K180" i="2"/>
  <c r="L180" i="2"/>
  <c r="L179" i="2"/>
  <c r="K179" i="2"/>
  <c r="M179" i="2" s="1"/>
  <c r="L178" i="2"/>
  <c r="K178" i="2"/>
  <c r="M178" i="2" s="1"/>
  <c r="L177" i="2"/>
  <c r="K177" i="2"/>
  <c r="M177" i="2" s="1"/>
  <c r="K176" i="2"/>
  <c r="L176" i="2"/>
  <c r="L175" i="2"/>
  <c r="K175" i="2"/>
  <c r="M175" i="2" s="1"/>
  <c r="K174" i="2"/>
  <c r="L174" i="2"/>
  <c r="L173" i="2"/>
  <c r="K173" i="2"/>
  <c r="M173" i="2" s="1"/>
  <c r="L172" i="2"/>
  <c r="K172" i="2"/>
  <c r="M172" i="2" s="1"/>
  <c r="K171" i="2"/>
  <c r="L171" i="2"/>
  <c r="K170" i="2"/>
  <c r="L170" i="2"/>
  <c r="K169" i="2"/>
  <c r="L169" i="2"/>
  <c r="K168" i="2"/>
  <c r="L168" i="2"/>
  <c r="K167" i="2"/>
  <c r="L167" i="2"/>
  <c r="K166" i="2"/>
  <c r="L166" i="2"/>
  <c r="L165" i="2"/>
  <c r="K165" i="2"/>
  <c r="M165" i="2" s="1"/>
  <c r="K164" i="2"/>
  <c r="L164" i="2"/>
  <c r="K163" i="2"/>
  <c r="L163" i="2"/>
  <c r="K162" i="2"/>
  <c r="L162" i="2"/>
  <c r="K161" i="2"/>
  <c r="L161" i="2"/>
  <c r="L160" i="2"/>
  <c r="K160" i="2"/>
  <c r="M160" i="2" s="1"/>
  <c r="L159" i="2"/>
  <c r="K159" i="2"/>
  <c r="M159" i="2" s="1"/>
  <c r="L158" i="2"/>
  <c r="K158" i="2"/>
  <c r="M158" i="2" s="1"/>
  <c r="L157" i="2"/>
  <c r="K157" i="2"/>
  <c r="L156" i="2"/>
  <c r="K156" i="2"/>
  <c r="M156" i="2" s="1"/>
  <c r="L155" i="2"/>
  <c r="K155" i="2"/>
  <c r="M155" i="2" s="1"/>
  <c r="K154" i="2"/>
  <c r="L154" i="2"/>
  <c r="K153" i="2"/>
  <c r="L153" i="2"/>
  <c r="L152" i="2"/>
  <c r="K152" i="2"/>
  <c r="M152" i="2" s="1"/>
  <c r="L151" i="2"/>
  <c r="K151" i="2"/>
  <c r="M151" i="2" s="1"/>
  <c r="K150" i="2"/>
  <c r="L150" i="2"/>
  <c r="K149" i="2"/>
  <c r="L149" i="2"/>
  <c r="K148" i="2"/>
  <c r="L148" i="2"/>
  <c r="L147" i="2"/>
  <c r="K147" i="2"/>
  <c r="M147" i="2" s="1"/>
  <c r="L146" i="2"/>
  <c r="K146" i="2"/>
  <c r="M146" i="2" s="1"/>
  <c r="K145" i="2"/>
  <c r="L145" i="2"/>
  <c r="L144" i="2"/>
  <c r="K144" i="2"/>
  <c r="M144" i="2" s="1"/>
  <c r="L143" i="2"/>
  <c r="K143" i="2"/>
  <c r="M143" i="2" s="1"/>
  <c r="L142" i="2"/>
  <c r="K142" i="2"/>
  <c r="M142" i="2" s="1"/>
  <c r="L141" i="2"/>
  <c r="K141" i="2"/>
  <c r="K140" i="2"/>
  <c r="L140" i="2"/>
  <c r="K139" i="2"/>
  <c r="L139" i="2"/>
  <c r="L138" i="2"/>
  <c r="K138" i="2"/>
  <c r="M138" i="2" s="1"/>
  <c r="K137" i="2"/>
  <c r="L137" i="2"/>
  <c r="L136" i="2"/>
  <c r="K136" i="2"/>
  <c r="M136" i="2" s="1"/>
  <c r="L135" i="2"/>
  <c r="K135" i="2"/>
  <c r="L134" i="2"/>
  <c r="K134" i="2"/>
  <c r="M134" i="2" s="1"/>
  <c r="L133" i="2"/>
  <c r="K133" i="2"/>
  <c r="M133" i="2" s="1"/>
  <c r="K132" i="2"/>
  <c r="L132" i="2"/>
  <c r="K131" i="2"/>
  <c r="L131" i="2"/>
  <c r="K130" i="2"/>
  <c r="L130" i="2"/>
  <c r="L129" i="2"/>
  <c r="K129" i="2"/>
  <c r="K128" i="2"/>
  <c r="L128" i="2"/>
  <c r="L127" i="2"/>
  <c r="K127" i="2"/>
  <c r="M127" i="2" s="1"/>
  <c r="K126" i="2"/>
  <c r="L126" i="2"/>
  <c r="K125" i="2"/>
  <c r="L125" i="2"/>
  <c r="L124" i="2"/>
  <c r="K124" i="2"/>
  <c r="M124" i="2" s="1"/>
  <c r="L123" i="2"/>
  <c r="K123" i="2"/>
  <c r="M123" i="2" s="1"/>
  <c r="L122" i="2"/>
  <c r="K122" i="2"/>
  <c r="M122" i="2" s="1"/>
  <c r="L121" i="2"/>
  <c r="K121" i="2"/>
  <c r="M121" i="2" s="1"/>
  <c r="L120" i="2"/>
  <c r="K120" i="2"/>
  <c r="M120" i="2" s="1"/>
  <c r="K119" i="2"/>
  <c r="L119" i="2"/>
  <c r="K118" i="2"/>
  <c r="L118" i="2"/>
  <c r="K117" i="2"/>
  <c r="L117" i="2"/>
  <c r="K116" i="2"/>
  <c r="L116" i="2"/>
  <c r="K115" i="2"/>
  <c r="L115" i="2"/>
  <c r="L114" i="2"/>
  <c r="K114" i="2"/>
  <c r="M114" i="2" s="1"/>
  <c r="L113" i="2"/>
  <c r="K113" i="2"/>
  <c r="M113" i="2" s="1"/>
  <c r="L112" i="2"/>
  <c r="K112" i="2"/>
  <c r="M112" i="2" s="1"/>
  <c r="K111" i="2"/>
  <c r="L111" i="2"/>
  <c r="K110" i="2"/>
  <c r="L110" i="2"/>
  <c r="K109" i="2"/>
  <c r="L109" i="2"/>
  <c r="L108" i="2"/>
  <c r="K108" i="2"/>
  <c r="M108" i="2" s="1"/>
  <c r="L107" i="2"/>
  <c r="K107" i="2"/>
  <c r="M107" i="2" s="1"/>
  <c r="K106" i="2"/>
  <c r="L106" i="2"/>
  <c r="K105" i="2"/>
  <c r="L105" i="2"/>
  <c r="L104" i="2"/>
  <c r="K104" i="2"/>
  <c r="M104" i="2" s="1"/>
  <c r="K103" i="2"/>
  <c r="L103" i="2"/>
  <c r="K102" i="2"/>
  <c r="L102" i="2"/>
  <c r="L101" i="2"/>
  <c r="K101" i="2"/>
  <c r="M101" i="2" s="1"/>
  <c r="K100" i="2"/>
  <c r="L100" i="2"/>
  <c r="K99" i="2"/>
  <c r="L99" i="2"/>
  <c r="L98" i="2"/>
  <c r="K98" i="2"/>
  <c r="M98" i="2" s="1"/>
  <c r="K97" i="2"/>
  <c r="L97" i="2"/>
  <c r="K96" i="2"/>
  <c r="L96" i="2"/>
  <c r="K95" i="2"/>
  <c r="L95" i="2"/>
  <c r="L94" i="2"/>
  <c r="K94" i="2"/>
  <c r="M94" i="2" s="1"/>
  <c r="K93" i="2"/>
  <c r="L93" i="2"/>
  <c r="L92" i="2"/>
  <c r="K92" i="2"/>
  <c r="M92" i="2" s="1"/>
  <c r="K91" i="2"/>
  <c r="L91" i="2"/>
  <c r="L90" i="2"/>
  <c r="K90" i="2"/>
  <c r="M90" i="2" s="1"/>
  <c r="L89" i="2"/>
  <c r="K89" i="2"/>
  <c r="K87" i="2"/>
  <c r="L87" i="2"/>
  <c r="K86" i="2"/>
  <c r="L86" i="2"/>
  <c r="K85" i="2"/>
  <c r="L85" i="2"/>
  <c r="K84" i="2"/>
  <c r="L84" i="2"/>
  <c r="L83" i="2"/>
  <c r="K83" i="2"/>
  <c r="M83" i="2" s="1"/>
  <c r="L82" i="2"/>
  <c r="K82" i="2"/>
  <c r="M82" i="2" s="1"/>
  <c r="K81" i="2"/>
  <c r="L81" i="2"/>
  <c r="K80" i="2"/>
  <c r="L80" i="2"/>
  <c r="L79" i="2"/>
  <c r="K79" i="2"/>
  <c r="M79" i="2" s="1"/>
  <c r="K78" i="2"/>
  <c r="L78" i="2"/>
  <c r="K77" i="2"/>
  <c r="L77" i="2"/>
  <c r="K76" i="2"/>
  <c r="L76" i="2"/>
  <c r="K75" i="2"/>
  <c r="L75" i="2"/>
  <c r="L74" i="2"/>
  <c r="K74" i="2"/>
  <c r="M74" i="2" s="1"/>
  <c r="K73" i="2"/>
  <c r="L73" i="2"/>
  <c r="K72" i="2"/>
  <c r="L72" i="2"/>
  <c r="L71" i="2"/>
  <c r="K71" i="2"/>
  <c r="M71" i="2" s="1"/>
  <c r="L70" i="2"/>
  <c r="K70" i="2"/>
  <c r="M70" i="2" s="1"/>
  <c r="K69" i="2"/>
  <c r="L69" i="2"/>
  <c r="K68" i="2"/>
  <c r="L68" i="2"/>
  <c r="L67" i="2"/>
  <c r="K67" i="2"/>
  <c r="M67" i="2" s="1"/>
  <c r="K66" i="2"/>
  <c r="L66" i="2"/>
  <c r="K65" i="2"/>
  <c r="L65" i="2"/>
  <c r="L64" i="2"/>
  <c r="K64" i="2"/>
  <c r="M64" i="2" s="1"/>
  <c r="K63" i="2"/>
  <c r="L63" i="2"/>
  <c r="K62" i="2"/>
  <c r="L62" i="2"/>
  <c r="K61" i="2"/>
  <c r="L61" i="2"/>
  <c r="L60" i="2"/>
  <c r="K60" i="2"/>
  <c r="M60" i="2" s="1"/>
  <c r="K59" i="2"/>
  <c r="L59" i="2"/>
  <c r="L58" i="2"/>
  <c r="K58" i="2"/>
  <c r="M58" i="2" s="1"/>
  <c r="L57" i="2"/>
  <c r="K57" i="2"/>
  <c r="M57" i="2" s="1"/>
  <c r="L56" i="2"/>
  <c r="K56" i="2"/>
  <c r="M56" i="2" s="1"/>
  <c r="K55" i="2"/>
  <c r="L55" i="2"/>
  <c r="K54" i="2"/>
  <c r="L54" i="2"/>
  <c r="L53" i="2"/>
  <c r="K53" i="2"/>
  <c r="L52" i="2"/>
  <c r="K52" i="2"/>
  <c r="M52" i="2" s="1"/>
  <c r="K51" i="2"/>
  <c r="L51" i="2"/>
  <c r="L50" i="2"/>
  <c r="K50" i="2"/>
  <c r="M50" i="2" s="1"/>
  <c r="L49" i="2"/>
  <c r="K49" i="2"/>
  <c r="M49" i="2" s="1"/>
  <c r="L48" i="2"/>
  <c r="K48" i="2"/>
  <c r="M48" i="2" s="1"/>
  <c r="K47" i="2"/>
  <c r="L47" i="2"/>
  <c r="K46" i="2"/>
  <c r="L46" i="2"/>
  <c r="L45" i="2"/>
  <c r="K45" i="2"/>
  <c r="M45" i="2" s="1"/>
  <c r="L44" i="2"/>
  <c r="K44" i="2"/>
  <c r="M44" i="2" s="1"/>
  <c r="K43" i="2"/>
  <c r="L43" i="2"/>
  <c r="L42" i="2"/>
  <c r="K42" i="2"/>
  <c r="M42" i="2" s="1"/>
  <c r="L41" i="2"/>
  <c r="K41" i="2"/>
  <c r="M41" i="2" s="1"/>
  <c r="K40" i="2"/>
  <c r="L40" i="2"/>
  <c r="K39" i="2"/>
  <c r="L39" i="2"/>
  <c r="L38" i="2"/>
  <c r="K38" i="2"/>
  <c r="M38" i="2" s="1"/>
  <c r="L37" i="2"/>
  <c r="K37" i="2"/>
  <c r="M37" i="2" s="1"/>
  <c r="K36" i="2"/>
  <c r="L36" i="2"/>
  <c r="L35" i="2"/>
  <c r="K35" i="2"/>
  <c r="M35" i="2" s="1"/>
  <c r="K34" i="2"/>
  <c r="L34" i="2"/>
  <c r="K33" i="2"/>
  <c r="L33" i="2"/>
  <c r="K32" i="2"/>
  <c r="L32" i="2"/>
  <c r="K31" i="2"/>
  <c r="L31" i="2"/>
  <c r="K30" i="2"/>
  <c r="L30" i="2"/>
  <c r="K29" i="2"/>
  <c r="L29" i="2"/>
  <c r="K28" i="2"/>
  <c r="L28" i="2"/>
  <c r="K27" i="2"/>
  <c r="L27" i="2"/>
  <c r="L26" i="2"/>
  <c r="K26" i="2"/>
  <c r="M26" i="2" s="1"/>
  <c r="K25" i="2"/>
  <c r="L25" i="2"/>
  <c r="K24" i="2"/>
  <c r="L24" i="2"/>
  <c r="K23" i="2"/>
  <c r="L23" i="2"/>
  <c r="L22" i="2"/>
  <c r="K22" i="2"/>
  <c r="L21" i="2"/>
  <c r="K21" i="2"/>
  <c r="L20" i="2"/>
  <c r="K20" i="2"/>
  <c r="M20" i="2" s="1"/>
  <c r="L19" i="2"/>
  <c r="K19" i="2"/>
  <c r="M19" i="2" s="1"/>
  <c r="L18" i="2"/>
  <c r="K18" i="2"/>
  <c r="M18" i="2" s="1"/>
  <c r="L17" i="2"/>
  <c r="K17" i="2"/>
  <c r="M17" i="2" s="1"/>
  <c r="L16" i="2"/>
  <c r="K16" i="2"/>
  <c r="M16" i="2" s="1"/>
  <c r="K15" i="2"/>
  <c r="L15" i="2"/>
  <c r="K14" i="2"/>
  <c r="L14" i="2"/>
  <c r="L13" i="2"/>
  <c r="K13" i="2"/>
  <c r="M13" i="2" s="1"/>
  <c r="K12" i="2"/>
  <c r="L12" i="2"/>
  <c r="L11" i="2"/>
  <c r="K11" i="2"/>
  <c r="M11" i="2" s="1"/>
  <c r="K10" i="2"/>
  <c r="L10" i="2"/>
  <c r="L9" i="2"/>
  <c r="K9" i="2"/>
  <c r="M9" i="2" s="1"/>
  <c r="K8" i="2"/>
  <c r="L8" i="2"/>
  <c r="L7" i="2"/>
  <c r="K7" i="2"/>
  <c r="M7" i="2" s="1"/>
  <c r="K6" i="2"/>
  <c r="L6" i="2"/>
  <c r="L5" i="2"/>
  <c r="K5" i="2"/>
  <c r="M5" i="2" s="1"/>
  <c r="T11" i="3" l="1"/>
  <c r="M89" i="2"/>
  <c r="M61" i="2"/>
  <c r="M53" i="2"/>
  <c r="T6" i="3"/>
  <c r="M135" i="2"/>
  <c r="M119" i="2"/>
  <c r="M84" i="2"/>
  <c r="M33" i="2"/>
  <c r="M28" i="2"/>
  <c r="M8" i="2"/>
  <c r="N7" i="3"/>
  <c r="T5" i="3"/>
  <c r="M203" i="2"/>
  <c r="P11" i="3"/>
  <c r="Q11" i="3" s="1"/>
  <c r="BK11" i="3"/>
  <c r="BK10" i="3"/>
  <c r="BK9" i="3"/>
  <c r="BK8" i="3"/>
  <c r="BK7" i="3"/>
  <c r="BK6" i="3"/>
  <c r="BK5" i="3"/>
  <c r="AD115" i="2"/>
  <c r="AF142" i="2"/>
  <c r="AF147" i="2"/>
  <c r="AD152" i="2"/>
  <c r="AF152" i="2"/>
  <c r="AD159" i="2"/>
  <c r="AF159" i="2"/>
  <c r="AF68" i="2"/>
  <c r="AF109" i="2"/>
  <c r="AF112" i="2"/>
  <c r="AD144" i="2"/>
  <c r="AD146" i="2"/>
  <c r="AF146" i="2"/>
  <c r="AD147" i="2"/>
  <c r="AD151" i="2"/>
  <c r="AD153" i="2"/>
  <c r="AF153" i="2"/>
  <c r="AD154" i="2"/>
  <c r="AF154" i="2"/>
  <c r="AD155" i="2"/>
  <c r="AF155" i="2"/>
  <c r="AD156" i="2"/>
  <c r="AF156" i="2"/>
  <c r="AD157" i="2"/>
  <c r="AF157" i="2"/>
  <c r="AD158" i="2"/>
  <c r="AF158" i="2"/>
  <c r="AD160" i="2"/>
  <c r="AD185" i="2"/>
  <c r="AF185" i="2"/>
  <c r="AD186" i="2"/>
  <c r="AF186" i="2"/>
  <c r="AD187" i="2"/>
  <c r="AF187" i="2"/>
  <c r="AD188" i="2"/>
  <c r="AF188" i="2"/>
  <c r="AD189" i="2"/>
  <c r="AF189" i="2"/>
  <c r="AD190" i="2"/>
  <c r="AF190" i="2"/>
  <c r="AD191" i="2"/>
  <c r="AD69" i="2"/>
  <c r="AD70" i="2"/>
  <c r="AD88" i="2"/>
  <c r="M208" i="2"/>
  <c r="M205" i="2"/>
  <c r="AF205" i="2" s="1"/>
  <c r="M204" i="2"/>
  <c r="M202" i="2"/>
  <c r="M201" i="2"/>
  <c r="M199" i="2"/>
  <c r="M198" i="2"/>
  <c r="M195" i="2"/>
  <c r="M194" i="2"/>
  <c r="M193" i="2"/>
  <c r="M192" i="2"/>
  <c r="M191" i="2"/>
  <c r="M189" i="2"/>
  <c r="M188" i="2"/>
  <c r="M157" i="2"/>
  <c r="M154" i="2"/>
  <c r="M153" i="2"/>
  <c r="M145" i="2"/>
  <c r="AD145" i="2" s="1"/>
  <c r="M141" i="2"/>
  <c r="M140" i="2"/>
  <c r="M139" i="2"/>
  <c r="M132" i="2"/>
  <c r="M131" i="2"/>
  <c r="M130" i="2"/>
  <c r="M129" i="2"/>
  <c r="AD129" i="2" s="1"/>
  <c r="M128" i="2"/>
  <c r="M126" i="2"/>
  <c r="M125" i="2"/>
  <c r="M187" i="2"/>
  <c r="M186" i="2"/>
  <c r="M185" i="2"/>
  <c r="M184" i="2"/>
  <c r="M183" i="2"/>
  <c r="M182" i="2"/>
  <c r="M180" i="2"/>
  <c r="M176" i="2"/>
  <c r="M174" i="2"/>
  <c r="M171" i="2"/>
  <c r="M170" i="2"/>
  <c r="M169" i="2"/>
  <c r="M168" i="2"/>
  <c r="M167" i="2"/>
  <c r="M166" i="2"/>
  <c r="M164" i="2"/>
  <c r="M163" i="2"/>
  <c r="M162" i="2"/>
  <c r="M161" i="2"/>
  <c r="M150" i="2"/>
  <c r="M149" i="2"/>
  <c r="M148" i="2"/>
  <c r="M137" i="2"/>
  <c r="N10" i="3"/>
  <c r="Q8" i="3"/>
  <c r="N6" i="3"/>
  <c r="Q5" i="3"/>
  <c r="M214" i="2"/>
  <c r="M212" i="2"/>
  <c r="M118" i="2"/>
  <c r="AF118" i="2" s="1"/>
  <c r="M117" i="2"/>
  <c r="M116" i="2"/>
  <c r="AD116" i="2" s="1"/>
  <c r="M115" i="2"/>
  <c r="M111" i="2"/>
  <c r="AF111" i="2" s="1"/>
  <c r="M110" i="2"/>
  <c r="AD110" i="2" s="1"/>
  <c r="M109" i="2"/>
  <c r="AD109" i="2" s="1"/>
  <c r="M106" i="2"/>
  <c r="M105" i="2"/>
  <c r="M103" i="2"/>
  <c r="M102" i="2"/>
  <c r="M100" i="2"/>
  <c r="M99" i="2"/>
  <c r="M97" i="2"/>
  <c r="M96" i="2"/>
  <c r="M95" i="2"/>
  <c r="M93" i="2"/>
  <c r="M91" i="2"/>
  <c r="M87" i="2"/>
  <c r="M86" i="2"/>
  <c r="M85" i="2"/>
  <c r="Q10" i="3"/>
  <c r="M81" i="2"/>
  <c r="AD81" i="2" s="1"/>
  <c r="M80" i="2"/>
  <c r="AD80" i="2" s="1"/>
  <c r="M78" i="2"/>
  <c r="AF78" i="2" s="1"/>
  <c r="M77" i="2"/>
  <c r="AF77" i="2" s="1"/>
  <c r="M76" i="2"/>
  <c r="M75" i="2"/>
  <c r="M73" i="2"/>
  <c r="M72" i="2"/>
  <c r="AD72" i="2" s="1"/>
  <c r="M69" i="2"/>
  <c r="M68" i="2"/>
  <c r="M66" i="2"/>
  <c r="M65" i="2"/>
  <c r="M63" i="2"/>
  <c r="M62" i="2"/>
  <c r="M36" i="2"/>
  <c r="M32" i="2"/>
  <c r="M30" i="2"/>
  <c r="M29" i="2"/>
  <c r="M24" i="2"/>
  <c r="M21" i="2"/>
  <c r="M15" i="2"/>
  <c r="M12" i="2"/>
  <c r="M10" i="2"/>
  <c r="N9" i="3"/>
  <c r="N5" i="3"/>
  <c r="Q9" i="3"/>
  <c r="Q6" i="3"/>
  <c r="M59" i="2"/>
  <c r="M55" i="2"/>
  <c r="M54" i="2"/>
  <c r="M51" i="2"/>
  <c r="M47" i="2"/>
  <c r="M46" i="2"/>
  <c r="M43" i="2"/>
  <c r="M40" i="2"/>
  <c r="M39" i="2"/>
  <c r="M34" i="2"/>
  <c r="M31" i="2"/>
  <c r="M27" i="2"/>
  <c r="M25" i="2"/>
  <c r="M23" i="2"/>
  <c r="M22" i="2"/>
  <c r="M14" i="2"/>
  <c r="M6" i="2"/>
  <c r="N8" i="3"/>
  <c r="Q7" i="3"/>
  <c r="AD205" i="2" l="1"/>
  <c r="AF191" i="2"/>
  <c r="AF145" i="2"/>
  <c r="BD9" i="3"/>
  <c r="AD176" i="2"/>
  <c r="AF167" i="2"/>
  <c r="AF212" i="2"/>
  <c r="AF116" i="2"/>
  <c r="AD106" i="2"/>
  <c r="AF81" i="2"/>
  <c r="AF80" i="2"/>
  <c r="AD78" i="2"/>
  <c r="AD77" i="2"/>
  <c r="AF72" i="2"/>
  <c r="AF69" i="2"/>
  <c r="AD68" i="2"/>
  <c r="AD128" i="2"/>
  <c r="AF128" i="2"/>
  <c r="AD126" i="2"/>
  <c r="AF126" i="2"/>
  <c r="AD125" i="2"/>
  <c r="AF125" i="2"/>
  <c r="AD164" i="2"/>
  <c r="AF164" i="2"/>
  <c r="AD163" i="2"/>
  <c r="AF163" i="2"/>
  <c r="AD162" i="2"/>
  <c r="AF162" i="2"/>
  <c r="AD161" i="2"/>
  <c r="AF161" i="2"/>
  <c r="AF117" i="2"/>
  <c r="AD117" i="2"/>
  <c r="AD73" i="2"/>
  <c r="AF73" i="2"/>
  <c r="AD123" i="2"/>
  <c r="AF131" i="2"/>
  <c r="AD134" i="2"/>
  <c r="AF136" i="2"/>
  <c r="AF139" i="2"/>
  <c r="AF115" i="2"/>
  <c r="BI10" i="3"/>
  <c r="AD124" i="2"/>
  <c r="AF124" i="2"/>
  <c r="AD127" i="2"/>
  <c r="AF127" i="2"/>
  <c r="AF129" i="2"/>
  <c r="AD130" i="2"/>
  <c r="AF130" i="2"/>
  <c r="AF132" i="2"/>
  <c r="AD137" i="2"/>
  <c r="AF138" i="2"/>
  <c r="AF110" i="2"/>
  <c r="AD149" i="2"/>
  <c r="AD135" i="2"/>
  <c r="AF137" i="2"/>
  <c r="BJ8" i="3"/>
  <c r="AD108" i="2"/>
  <c r="AF140" i="2"/>
  <c r="AF114" i="2"/>
  <c r="AF151" i="2"/>
  <c r="AF160" i="2"/>
  <c r="AD165" i="2"/>
  <c r="AF165" i="2"/>
  <c r="AD120" i="2"/>
  <c r="AF166" i="2"/>
  <c r="AD167" i="2"/>
  <c r="AD177" i="2"/>
  <c r="AF181" i="2"/>
  <c r="AF182" i="2"/>
  <c r="AD183" i="2"/>
  <c r="AD184" i="2"/>
  <c r="AF184" i="2"/>
  <c r="AF177" i="2"/>
  <c r="AD178" i="2"/>
  <c r="AF178" i="2"/>
  <c r="AD179" i="2"/>
  <c r="AF179" i="2"/>
  <c r="AD181" i="2"/>
  <c r="AD182" i="2"/>
  <c r="AF183" i="2"/>
  <c r="AF206" i="2"/>
  <c r="AD112" i="2"/>
  <c r="AD113" i="2"/>
  <c r="AD119" i="2"/>
  <c r="AF122" i="2"/>
  <c r="AD143" i="2"/>
  <c r="AF143" i="2"/>
  <c r="AF144" i="2"/>
  <c r="AF134" i="2"/>
  <c r="AF107" i="2"/>
  <c r="AF70" i="2"/>
  <c r="AD67" i="2"/>
  <c r="BI9" i="3"/>
  <c r="AF79" i="2"/>
  <c r="BH10" i="3"/>
  <c r="AF71" i="2"/>
  <c r="AF119" i="2"/>
  <c r="AD122" i="2"/>
  <c r="AD131" i="2"/>
  <c r="AD133" i="2"/>
  <c r="AF135" i="2"/>
  <c r="AD139" i="2"/>
  <c r="AF74" i="2"/>
  <c r="AD111" i="2"/>
  <c r="AF88" i="2"/>
  <c r="AD114" i="2"/>
  <c r="BJ10" i="3"/>
  <c r="AD166" i="2"/>
  <c r="AD121" i="2"/>
  <c r="AD79" i="2"/>
  <c r="AF108" i="2"/>
  <c r="AF113" i="2"/>
  <c r="AF120" i="2"/>
  <c r="AF121" i="2"/>
  <c r="AF123" i="2"/>
  <c r="AD132" i="2"/>
  <c r="AF133" i="2"/>
  <c r="AD136" i="2"/>
  <c r="AD138" i="2"/>
  <c r="BI8" i="3"/>
  <c r="AD74" i="2"/>
  <c r="AD140" i="2"/>
  <c r="AF149" i="2"/>
  <c r="E11" i="3"/>
  <c r="BD11" i="3"/>
  <c r="F11" i="3"/>
  <c r="E9" i="3"/>
  <c r="F9" i="3"/>
  <c r="E10" i="3"/>
  <c r="BD10" i="3"/>
  <c r="F10" i="3"/>
  <c r="F8" i="3"/>
  <c r="BD8" i="3"/>
  <c r="E8" i="3"/>
  <c r="E7" i="3"/>
  <c r="BD7" i="3"/>
  <c r="F7" i="3"/>
  <c r="F5" i="3"/>
  <c r="F6" i="3"/>
  <c r="E6" i="3"/>
  <c r="E5" i="3"/>
  <c r="AD208" i="2"/>
  <c r="AF208" i="2"/>
  <c r="AD204" i="2"/>
  <c r="AF204" i="2"/>
  <c r="AF202" i="2"/>
  <c r="AD202" i="2"/>
  <c r="AD201" i="2"/>
  <c r="AF201" i="2"/>
  <c r="AF199" i="2"/>
  <c r="AD199" i="2"/>
  <c r="AF198" i="2"/>
  <c r="AD198" i="2"/>
  <c r="AD195" i="2"/>
  <c r="AF195" i="2"/>
  <c r="AF194" i="2"/>
  <c r="AD194" i="2"/>
  <c r="AF193" i="2"/>
  <c r="AD193" i="2"/>
  <c r="AF192" i="2"/>
  <c r="AD192" i="2"/>
  <c r="AD141" i="2"/>
  <c r="AF141" i="2"/>
  <c r="I9" i="3" s="1"/>
  <c r="AD180" i="2"/>
  <c r="AF180" i="2"/>
  <c r="AF174" i="2"/>
  <c r="AD174" i="2"/>
  <c r="AD171" i="2"/>
  <c r="AF171" i="2"/>
  <c r="AF170" i="2"/>
  <c r="AD170" i="2"/>
  <c r="AD169" i="2"/>
  <c r="AF169" i="2"/>
  <c r="J10" i="3" s="1"/>
  <c r="AF168" i="2"/>
  <c r="AD168" i="2"/>
  <c r="AD150" i="2"/>
  <c r="AF150" i="2"/>
  <c r="AF148" i="2"/>
  <c r="AD148" i="2"/>
  <c r="AD214" i="2"/>
  <c r="AF214" i="2"/>
  <c r="AD105" i="2"/>
  <c r="AF105" i="2"/>
  <c r="AD103" i="2"/>
  <c r="AF103" i="2"/>
  <c r="AF102" i="2"/>
  <c r="AD102" i="2"/>
  <c r="AD100" i="2"/>
  <c r="AF100" i="2"/>
  <c r="AD99" i="2"/>
  <c r="AF99" i="2"/>
  <c r="AD97" i="2"/>
  <c r="AF97" i="2"/>
  <c r="AD96" i="2"/>
  <c r="AF96" i="2"/>
  <c r="AD95" i="2"/>
  <c r="AF95" i="2"/>
  <c r="AF93" i="2"/>
  <c r="AD93" i="2"/>
  <c r="AF91" i="2"/>
  <c r="AD91" i="2"/>
  <c r="AD87" i="2"/>
  <c r="AF87" i="2"/>
  <c r="AF86" i="2"/>
  <c r="AD86" i="2"/>
  <c r="AF85" i="2"/>
  <c r="AD85" i="2"/>
  <c r="AF76" i="2"/>
  <c r="AD76" i="2"/>
  <c r="AD75" i="2"/>
  <c r="AF75" i="2"/>
  <c r="AD66" i="2"/>
  <c r="AF66" i="2"/>
  <c r="AD65" i="2"/>
  <c r="AF65" i="2"/>
  <c r="AD63" i="2"/>
  <c r="AF63" i="2"/>
  <c r="AD62" i="2"/>
  <c r="AF62" i="2"/>
  <c r="AF36" i="2"/>
  <c r="AD36" i="2"/>
  <c r="AD32" i="2"/>
  <c r="AF32" i="2"/>
  <c r="AD30" i="2"/>
  <c r="AF30" i="2"/>
  <c r="AF29" i="2"/>
  <c r="AD29" i="2"/>
  <c r="AD24" i="2"/>
  <c r="AF24" i="2"/>
  <c r="AF21" i="2"/>
  <c r="AD21" i="2"/>
  <c r="AD15" i="2"/>
  <c r="AF15" i="2"/>
  <c r="AF12" i="2"/>
  <c r="AD12" i="2"/>
  <c r="AD10" i="2"/>
  <c r="AF10" i="2"/>
  <c r="AD59" i="2"/>
  <c r="AF59" i="2"/>
  <c r="AF55" i="2"/>
  <c r="AD55" i="2"/>
  <c r="AD54" i="2"/>
  <c r="AF54" i="2"/>
  <c r="AF51" i="2"/>
  <c r="AD51" i="2"/>
  <c r="BD6" i="3"/>
  <c r="AF47" i="2"/>
  <c r="AD47" i="2"/>
  <c r="AD46" i="2"/>
  <c r="AF46" i="2"/>
  <c r="AD43" i="2"/>
  <c r="AF43" i="2"/>
  <c r="AF40" i="2"/>
  <c r="AD40" i="2"/>
  <c r="AF39" i="2"/>
  <c r="AD39" i="2"/>
  <c r="AF34" i="2"/>
  <c r="AD34" i="2"/>
  <c r="AD31" i="2"/>
  <c r="AF31" i="2"/>
  <c r="AD27" i="2"/>
  <c r="AF27" i="2"/>
  <c r="AF25" i="2"/>
  <c r="AD25" i="2"/>
  <c r="AF23" i="2"/>
  <c r="AD23" i="2"/>
  <c r="AD22" i="2"/>
  <c r="AF22" i="2"/>
  <c r="AD14" i="2"/>
  <c r="AF14" i="2"/>
  <c r="AF41" i="2"/>
  <c r="AD107" i="2"/>
  <c r="AD5" i="2"/>
  <c r="AD9" i="2"/>
  <c r="AD11" i="2"/>
  <c r="AD38" i="2"/>
  <c r="AD42" i="2"/>
  <c r="AD49" i="2"/>
  <c r="AD50" i="2"/>
  <c r="AD52" i="2"/>
  <c r="AD53" i="2"/>
  <c r="BH5" i="3"/>
  <c r="AF13" i="2"/>
  <c r="AF38" i="2"/>
  <c r="AF44" i="2"/>
  <c r="AD104" i="2"/>
  <c r="AF9" i="2"/>
  <c r="AF18" i="2"/>
  <c r="AD37" i="2"/>
  <c r="AD41" i="2"/>
  <c r="AD44" i="2"/>
  <c r="AF48" i="2"/>
  <c r="AF49" i="2"/>
  <c r="AF52" i="2"/>
  <c r="AD56" i="2"/>
  <c r="AF207" i="2"/>
  <c r="AD213" i="2"/>
  <c r="BH9" i="3"/>
  <c r="AD7" i="2"/>
  <c r="AD13" i="2"/>
  <c r="AF175" i="2"/>
  <c r="AF173" i="2"/>
  <c r="AF176" i="2"/>
  <c r="AD118" i="2"/>
  <c r="AF104" i="2"/>
  <c r="AD173" i="2"/>
  <c r="AF84" i="2"/>
  <c r="AD84" i="2"/>
  <c r="AF83" i="2"/>
  <c r="AF172" i="2"/>
  <c r="AD83" i="2"/>
  <c r="AF82" i="2"/>
  <c r="AD82" i="2"/>
  <c r="AD172" i="2"/>
  <c r="BI5" i="3"/>
  <c r="AF215" i="2"/>
  <c r="AF209" i="2"/>
  <c r="AD206" i="2"/>
  <c r="AD203" i="2"/>
  <c r="AD142" i="2"/>
  <c r="AD196" i="2"/>
  <c r="AF196" i="2"/>
  <c r="AD197" i="2"/>
  <c r="AF197" i="2"/>
  <c r="AF67" i="2"/>
  <c r="BH8" i="3"/>
  <c r="BI7" i="3"/>
  <c r="AD71" i="2"/>
  <c r="AD200" i="2"/>
  <c r="AF200" i="2"/>
  <c r="BD5" i="3"/>
  <c r="AF213" i="2"/>
  <c r="AD211" i="2"/>
  <c r="AF211" i="2"/>
  <c r="AF64" i="2"/>
  <c r="BH11" i="3"/>
  <c r="BI11" i="3"/>
  <c r="AD209" i="2"/>
  <c r="AD89" i="2"/>
  <c r="AF89" i="2"/>
  <c r="AD90" i="2"/>
  <c r="AD33" i="2"/>
  <c r="AF90" i="2"/>
  <c r="AD92" i="2"/>
  <c r="AF35" i="2"/>
  <c r="AF45" i="2"/>
  <c r="AD210" i="2"/>
  <c r="AD64" i="2"/>
  <c r="BJ5" i="3"/>
  <c r="BI6" i="3"/>
  <c r="V6" i="3" s="1"/>
  <c r="BJ7" i="3"/>
  <c r="AF92" i="2"/>
  <c r="AF106" i="2"/>
  <c r="AF101" i="2"/>
  <c r="AD101" i="2"/>
  <c r="AF61" i="2"/>
  <c r="BJ11" i="3"/>
  <c r="AF216" i="2"/>
  <c r="AF5" i="2"/>
  <c r="AD94" i="2"/>
  <c r="AF94" i="2"/>
  <c r="AD6" i="2"/>
  <c r="AF6" i="2"/>
  <c r="AD8" i="2"/>
  <c r="AF8" i="2"/>
  <c r="AF98" i="2"/>
  <c r="AD98" i="2"/>
  <c r="AD58" i="2"/>
  <c r="AD16" i="2"/>
  <c r="AF16" i="2"/>
  <c r="AF17" i="2"/>
  <c r="BJ6" i="3"/>
  <c r="AD19" i="2"/>
  <c r="AF19" i="2"/>
  <c r="AD20" i="2"/>
  <c r="AF20" i="2"/>
  <c r="AF57" i="2"/>
  <c r="AD212" i="2"/>
  <c r="AF11" i="2"/>
  <c r="AF37" i="2"/>
  <c r="AD175" i="2"/>
  <c r="BJ9" i="3"/>
  <c r="AD57" i="2"/>
  <c r="AF56" i="2"/>
  <c r="AD26" i="2"/>
  <c r="AF26" i="2"/>
  <c r="AF7" i="2"/>
  <c r="AD216" i="2"/>
  <c r="AD28" i="2"/>
  <c r="AF28" i="2"/>
  <c r="AF203" i="2"/>
  <c r="AF53" i="2"/>
  <c r="AF50" i="2"/>
  <c r="AD48" i="2"/>
  <c r="AF33" i="2"/>
  <c r="AD35" i="2"/>
  <c r="AD45" i="2"/>
  <c r="AD61" i="2"/>
  <c r="AD207" i="2"/>
  <c r="AF210" i="2"/>
  <c r="AD215" i="2"/>
  <c r="BH6" i="3"/>
  <c r="BH7" i="3"/>
  <c r="AF60" i="2"/>
  <c r="AD60" i="2"/>
  <c r="AF42" i="2"/>
  <c r="AD17" i="2"/>
  <c r="AF58" i="2"/>
  <c r="AD18" i="2"/>
  <c r="J9" i="3" l="1"/>
  <c r="V5" i="3"/>
  <c r="U11" i="3"/>
  <c r="I10" i="3"/>
  <c r="J7" i="3"/>
  <c r="V7" i="3"/>
  <c r="V11" i="3"/>
  <c r="U6" i="3"/>
  <c r="U7" i="3"/>
  <c r="O207" i="2"/>
  <c r="O202" i="2"/>
  <c r="O206" i="2"/>
  <c r="O214" i="2"/>
  <c r="O205" i="2"/>
  <c r="O204" i="2"/>
  <c r="O215" i="2"/>
  <c r="O196" i="2"/>
  <c r="O198" i="2"/>
  <c r="O201" i="2"/>
  <c r="O191" i="2"/>
  <c r="O193" i="2"/>
  <c r="O203" i="2"/>
  <c r="G11" i="3" s="1"/>
  <c r="O213" i="2"/>
  <c r="O208" i="2"/>
  <c r="O210" i="2"/>
  <c r="O194" i="2"/>
  <c r="O199" i="2"/>
  <c r="O195" i="2"/>
  <c r="O200" i="2"/>
  <c r="O216" i="2"/>
  <c r="O212" i="2"/>
  <c r="O209" i="2"/>
  <c r="O192" i="2"/>
  <c r="O197" i="2"/>
  <c r="O211" i="2"/>
  <c r="H11" i="3"/>
  <c r="H9" i="3"/>
  <c r="H10" i="3"/>
  <c r="H8" i="3"/>
  <c r="H7" i="3"/>
  <c r="H6" i="3"/>
  <c r="H5" i="3"/>
  <c r="O95" i="2"/>
  <c r="O97" i="2"/>
  <c r="O120" i="2"/>
  <c r="O119" i="2"/>
  <c r="O118" i="2"/>
  <c r="O107" i="2"/>
  <c r="O106" i="2"/>
  <c r="O105" i="2"/>
  <c r="O104" i="2"/>
  <c r="O103" i="2"/>
  <c r="O102" i="2"/>
  <c r="O101" i="2"/>
  <c r="O100" i="2"/>
  <c r="O99" i="2"/>
  <c r="O96" i="2"/>
  <c r="O117" i="2"/>
  <c r="O116" i="2"/>
  <c r="O115" i="2"/>
  <c r="O114" i="2"/>
  <c r="O113" i="2"/>
  <c r="O112" i="2"/>
  <c r="O111" i="2"/>
  <c r="O110" i="2"/>
  <c r="O109" i="2"/>
  <c r="O108" i="2"/>
  <c r="G8" i="3" s="1"/>
  <c r="O98" i="2"/>
  <c r="O87" i="2"/>
  <c r="O94" i="2"/>
  <c r="O93" i="2"/>
  <c r="O92" i="2"/>
  <c r="O91" i="2"/>
  <c r="O90" i="2"/>
  <c r="O89" i="2"/>
  <c r="O88" i="2"/>
  <c r="G7" i="3"/>
  <c r="O45" i="2"/>
  <c r="O35" i="2"/>
  <c r="O34" i="2"/>
  <c r="O33" i="2"/>
  <c r="O32" i="2"/>
  <c r="O31" i="2"/>
  <c r="O30" i="2"/>
  <c r="O29" i="2"/>
  <c r="O28" i="2"/>
  <c r="O27" i="2"/>
  <c r="O26" i="2"/>
  <c r="O23" i="2"/>
  <c r="O22" i="2"/>
  <c r="O21" i="2"/>
  <c r="G5" i="3" s="1"/>
  <c r="O20" i="2"/>
  <c r="O19" i="2"/>
  <c r="O24" i="2"/>
  <c r="O14" i="2"/>
  <c r="O42" i="2"/>
  <c r="O38" i="2"/>
  <c r="O37" i="2"/>
  <c r="O36" i="2"/>
  <c r="O48" i="2"/>
  <c r="O47" i="2"/>
  <c r="O41" i="2"/>
  <c r="O46" i="2"/>
  <c r="O44" i="2"/>
  <c r="O43" i="2"/>
  <c r="O40" i="2"/>
  <c r="O39" i="2"/>
  <c r="O18" i="2"/>
  <c r="O17" i="2"/>
  <c r="O16" i="2"/>
  <c r="O15" i="2"/>
  <c r="O13" i="2"/>
  <c r="O12" i="2"/>
  <c r="O11" i="2"/>
  <c r="O10" i="2"/>
  <c r="O9" i="2"/>
  <c r="O8" i="2"/>
  <c r="O7" i="2"/>
  <c r="O6" i="2"/>
  <c r="O5" i="2"/>
  <c r="O25" i="2"/>
  <c r="O49" i="2"/>
  <c r="O86" i="2"/>
  <c r="O85" i="2"/>
  <c r="O84" i="2"/>
  <c r="O83" i="2"/>
  <c r="O82" i="2"/>
  <c r="O76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78" i="2"/>
  <c r="O79" i="2"/>
  <c r="O77" i="2"/>
  <c r="O75" i="2"/>
  <c r="O74" i="2"/>
  <c r="O73" i="2"/>
  <c r="O72" i="2"/>
  <c r="O71" i="2"/>
  <c r="O70" i="2"/>
  <c r="O69" i="2"/>
  <c r="O68" i="2"/>
  <c r="O67" i="2"/>
  <c r="O81" i="2"/>
  <c r="O80" i="2"/>
  <c r="G6" i="3"/>
  <c r="I8" i="3"/>
  <c r="J11" i="3"/>
  <c r="J8" i="3"/>
  <c r="I11" i="3"/>
  <c r="U5" i="3"/>
  <c r="J5" i="3"/>
  <c r="J6" i="3"/>
  <c r="I7" i="3"/>
  <c r="I5" i="3"/>
  <c r="K5" i="3" s="1"/>
  <c r="I6" i="3"/>
  <c r="K6" i="3" s="1"/>
  <c r="V10" i="3"/>
  <c r="U10" i="3"/>
  <c r="W10" i="3" s="1"/>
  <c r="U9" i="3"/>
  <c r="V9" i="3"/>
  <c r="W9" i="3" s="1"/>
  <c r="O170" i="2"/>
  <c r="O174" i="2"/>
  <c r="O173" i="2"/>
  <c r="O178" i="2"/>
  <c r="O177" i="2"/>
  <c r="O175" i="2"/>
  <c r="O171" i="2"/>
  <c r="O176" i="2"/>
  <c r="O180" i="2"/>
  <c r="O169" i="2"/>
  <c r="O168" i="2"/>
  <c r="O167" i="2"/>
  <c r="O166" i="2"/>
  <c r="O165" i="2"/>
  <c r="O162" i="2"/>
  <c r="O164" i="2"/>
  <c r="O163" i="2"/>
  <c r="O181" i="2"/>
  <c r="O172" i="2"/>
  <c r="O149" i="2"/>
  <c r="O152" i="2"/>
  <c r="O159" i="2"/>
  <c r="O153" i="2"/>
  <c r="O154" i="2"/>
  <c r="O155" i="2"/>
  <c r="O156" i="2"/>
  <c r="O157" i="2"/>
  <c r="O158" i="2"/>
  <c r="O128" i="2"/>
  <c r="O121" i="2"/>
  <c r="O151" i="2"/>
  <c r="O142" i="2"/>
  <c r="O150" i="2"/>
  <c r="O140" i="2"/>
  <c r="O144" i="2"/>
  <c r="O148" i="2"/>
  <c r="O141" i="2"/>
  <c r="O147" i="2"/>
  <c r="O129" i="2"/>
  <c r="O146" i="2"/>
  <c r="G9" i="3" s="1"/>
  <c r="O160" i="2"/>
  <c r="O145" i="2"/>
  <c r="O143" i="2"/>
  <c r="O122" i="2"/>
  <c r="O123" i="2"/>
  <c r="O124" i="2"/>
  <c r="O125" i="2"/>
  <c r="O126" i="2"/>
  <c r="O127" i="2"/>
  <c r="O130" i="2"/>
  <c r="O131" i="2"/>
  <c r="O132" i="2"/>
  <c r="O133" i="2"/>
  <c r="O134" i="2"/>
  <c r="O135" i="2"/>
  <c r="O136" i="2"/>
  <c r="O137" i="2"/>
  <c r="O138" i="2"/>
  <c r="O139" i="2"/>
  <c r="V8" i="3"/>
  <c r="U8" i="3"/>
  <c r="W8" i="3" s="1"/>
  <c r="O179" i="2"/>
  <c r="O182" i="2"/>
  <c r="O183" i="2"/>
  <c r="O184" i="2"/>
  <c r="O185" i="2"/>
  <c r="O186" i="2"/>
  <c r="O187" i="2"/>
  <c r="O188" i="2"/>
  <c r="O189" i="2"/>
  <c r="O190" i="2"/>
  <c r="O161" i="2"/>
  <c r="W7" i="3"/>
  <c r="W6" i="3"/>
  <c r="K10" i="3"/>
  <c r="K9" i="3"/>
  <c r="W11" i="3"/>
  <c r="K11" i="3" l="1"/>
  <c r="W5" i="3"/>
  <c r="K7" i="3"/>
  <c r="X11" i="3"/>
  <c r="Y11" i="3" s="1"/>
  <c r="AQ11" i="3"/>
  <c r="X9" i="3"/>
  <c r="Y9" i="3" s="1"/>
  <c r="AQ9" i="3"/>
  <c r="X10" i="3"/>
  <c r="Y10" i="3" s="1"/>
  <c r="AQ10" i="3"/>
  <c r="AQ8" i="3"/>
  <c r="X8" i="3"/>
  <c r="Y8" i="3" s="1"/>
  <c r="X7" i="3"/>
  <c r="Y7" i="3" s="1"/>
  <c r="AQ7" i="3"/>
  <c r="X6" i="3"/>
  <c r="Y6" i="3" s="1"/>
  <c r="AQ6" i="3"/>
  <c r="X5" i="3"/>
  <c r="Y5" i="3" s="1"/>
  <c r="AQ5" i="3"/>
  <c r="G10" i="3"/>
  <c r="K8" i="3"/>
  <c r="Z11" i="3" l="1"/>
  <c r="AH11" i="3"/>
  <c r="AH9" i="3"/>
  <c r="Z9" i="3"/>
  <c r="Z10" i="3"/>
  <c r="AH10" i="3"/>
  <c r="Z8" i="3"/>
  <c r="AH8" i="3"/>
  <c r="AH7" i="3"/>
  <c r="Z7" i="3"/>
  <c r="AH6" i="3"/>
  <c r="Z6" i="3"/>
  <c r="AH5" i="3"/>
  <c r="Z5" i="3"/>
  <c r="AB11" i="3" l="1"/>
  <c r="P202" i="2"/>
  <c r="P193" i="2"/>
  <c r="P205" i="2"/>
  <c r="P204" i="2"/>
  <c r="P195" i="2"/>
  <c r="P194" i="2"/>
  <c r="P208" i="2"/>
  <c r="P209" i="2"/>
  <c r="P215" i="2"/>
  <c r="P196" i="2"/>
  <c r="P197" i="2"/>
  <c r="P200" i="2"/>
  <c r="P211" i="2"/>
  <c r="P212" i="2"/>
  <c r="P214" i="2"/>
  <c r="P192" i="2"/>
  <c r="P198" i="2"/>
  <c r="P199" i="2"/>
  <c r="P201" i="2"/>
  <c r="P191" i="2"/>
  <c r="P203" i="2"/>
  <c r="P207" i="2"/>
  <c r="P213" i="2"/>
  <c r="P216" i="2"/>
  <c r="P206" i="2"/>
  <c r="P210" i="2"/>
  <c r="AJ11" i="3"/>
  <c r="W205" i="2"/>
  <c r="W194" i="2"/>
  <c r="W208" i="2"/>
  <c r="W202" i="2"/>
  <c r="W204" i="2"/>
  <c r="W195" i="2"/>
  <c r="W193" i="2"/>
  <c r="W209" i="2"/>
  <c r="W215" i="2"/>
  <c r="W196" i="2"/>
  <c r="W197" i="2"/>
  <c r="W200" i="2"/>
  <c r="W211" i="2"/>
  <c r="W212" i="2"/>
  <c r="W214" i="2"/>
  <c r="W192" i="2"/>
  <c r="W198" i="2"/>
  <c r="W199" i="2"/>
  <c r="W201" i="2"/>
  <c r="W191" i="2"/>
  <c r="W203" i="2"/>
  <c r="W207" i="2"/>
  <c r="W213" i="2"/>
  <c r="W216" i="2"/>
  <c r="W206" i="2"/>
  <c r="W210" i="2"/>
  <c r="AJ9" i="3"/>
  <c r="W131" i="2"/>
  <c r="W125" i="2"/>
  <c r="W135" i="2"/>
  <c r="W133" i="2"/>
  <c r="W124" i="2"/>
  <c r="W142" i="2"/>
  <c r="W137" i="2"/>
  <c r="W130" i="2"/>
  <c r="W126" i="2"/>
  <c r="W139" i="2"/>
  <c r="W134" i="2"/>
  <c r="W127" i="2"/>
  <c r="W123" i="2"/>
  <c r="W122" i="2"/>
  <c r="W143" i="2"/>
  <c r="W145" i="2"/>
  <c r="W160" i="2"/>
  <c r="W146" i="2"/>
  <c r="W129" i="2"/>
  <c r="W147" i="2"/>
  <c r="W141" i="2"/>
  <c r="W148" i="2"/>
  <c r="W144" i="2"/>
  <c r="W140" i="2"/>
  <c r="W138" i="2"/>
  <c r="W136" i="2"/>
  <c r="W132" i="2"/>
  <c r="W150" i="2"/>
  <c r="W151" i="2"/>
  <c r="W121" i="2"/>
  <c r="W128" i="2"/>
  <c r="W158" i="2"/>
  <c r="W157" i="2"/>
  <c r="W156" i="2"/>
  <c r="W155" i="2"/>
  <c r="W154" i="2"/>
  <c r="W153" i="2"/>
  <c r="W159" i="2"/>
  <c r="W152" i="2"/>
  <c r="W149" i="2"/>
  <c r="AB9" i="3"/>
  <c r="P137" i="2"/>
  <c r="P132" i="2"/>
  <c r="P125" i="2"/>
  <c r="P123" i="2"/>
  <c r="P122" i="2"/>
  <c r="P143" i="2"/>
  <c r="P145" i="2"/>
  <c r="P160" i="2"/>
  <c r="P146" i="2"/>
  <c r="P129" i="2"/>
  <c r="P147" i="2"/>
  <c r="P141" i="2"/>
  <c r="P148" i="2"/>
  <c r="P144" i="2"/>
  <c r="P140" i="2"/>
  <c r="P134" i="2"/>
  <c r="P130" i="2"/>
  <c r="P126" i="2"/>
  <c r="P142" i="2"/>
  <c r="P151" i="2"/>
  <c r="P121" i="2"/>
  <c r="P128" i="2"/>
  <c r="P158" i="2"/>
  <c r="P157" i="2"/>
  <c r="P156" i="2"/>
  <c r="P155" i="2"/>
  <c r="P154" i="2"/>
  <c r="P153" i="2"/>
  <c r="P159" i="2"/>
  <c r="P152" i="2"/>
  <c r="P149" i="2"/>
  <c r="P136" i="2"/>
  <c r="P138" i="2"/>
  <c r="P131" i="2"/>
  <c r="P127" i="2"/>
  <c r="P139" i="2"/>
  <c r="P135" i="2"/>
  <c r="P133" i="2"/>
  <c r="P124" i="2"/>
  <c r="P150" i="2"/>
  <c r="AB10" i="3"/>
  <c r="P190" i="2"/>
  <c r="P182" i="2"/>
  <c r="P162" i="2"/>
  <c r="P173" i="2"/>
  <c r="P161" i="2"/>
  <c r="P187" i="2"/>
  <c r="P179" i="2"/>
  <c r="P165" i="2"/>
  <c r="P166" i="2"/>
  <c r="P168" i="2"/>
  <c r="P180" i="2"/>
  <c r="P177" i="2"/>
  <c r="P178" i="2"/>
  <c r="P174" i="2"/>
  <c r="P170" i="2"/>
  <c r="P188" i="2"/>
  <c r="P169" i="2"/>
  <c r="P171" i="2"/>
  <c r="P167" i="2"/>
  <c r="P176" i="2"/>
  <c r="P175" i="2"/>
  <c r="P185" i="2"/>
  <c r="P184" i="2"/>
  <c r="P183" i="2"/>
  <c r="P186" i="2"/>
  <c r="P189" i="2"/>
  <c r="P172" i="2"/>
  <c r="P181" i="2"/>
  <c r="P163" i="2"/>
  <c r="P164" i="2"/>
  <c r="AJ10" i="3"/>
  <c r="W186" i="2"/>
  <c r="W179" i="2"/>
  <c r="W172" i="2"/>
  <c r="W181" i="2"/>
  <c r="W163" i="2"/>
  <c r="W164" i="2"/>
  <c r="W162" i="2"/>
  <c r="W167" i="2"/>
  <c r="W180" i="2"/>
  <c r="W175" i="2"/>
  <c r="W178" i="2"/>
  <c r="W170" i="2"/>
  <c r="W171" i="2"/>
  <c r="W173" i="2"/>
  <c r="W174" i="2"/>
  <c r="W161" i="2"/>
  <c r="W168" i="2"/>
  <c r="W176" i="2"/>
  <c r="W177" i="2"/>
  <c r="W189" i="2"/>
  <c r="W187" i="2"/>
  <c r="W182" i="2"/>
  <c r="W165" i="2"/>
  <c r="W166" i="2"/>
  <c r="W169" i="2"/>
  <c r="W190" i="2"/>
  <c r="W185" i="2"/>
  <c r="W184" i="2"/>
  <c r="W183" i="2"/>
  <c r="W188" i="2"/>
  <c r="AA8" i="3"/>
  <c r="AB8" i="3"/>
  <c r="P98" i="2"/>
  <c r="P108" i="2"/>
  <c r="P109" i="2"/>
  <c r="P112" i="2"/>
  <c r="P113" i="2"/>
  <c r="P114" i="2"/>
  <c r="P116" i="2"/>
  <c r="P117" i="2"/>
  <c r="P96" i="2"/>
  <c r="P99" i="2"/>
  <c r="P101" i="2"/>
  <c r="P103" i="2"/>
  <c r="P104" i="2"/>
  <c r="P105" i="2"/>
  <c r="P106" i="2"/>
  <c r="P107" i="2"/>
  <c r="P118" i="2"/>
  <c r="P119" i="2"/>
  <c r="P120" i="2"/>
  <c r="P97" i="2"/>
  <c r="P95" i="2"/>
  <c r="P110" i="2"/>
  <c r="P115" i="2"/>
  <c r="P111" i="2"/>
  <c r="P100" i="2"/>
  <c r="P102" i="2"/>
  <c r="AJ8" i="3"/>
  <c r="AI8" i="3"/>
  <c r="W108" i="2"/>
  <c r="W112" i="2"/>
  <c r="W114" i="2"/>
  <c r="W98" i="2"/>
  <c r="W109" i="2"/>
  <c r="W110" i="2"/>
  <c r="W113" i="2"/>
  <c r="W115" i="2"/>
  <c r="W116" i="2"/>
  <c r="W96" i="2"/>
  <c r="W99" i="2"/>
  <c r="W111" i="2"/>
  <c r="W117" i="2"/>
  <c r="W100" i="2"/>
  <c r="W101" i="2"/>
  <c r="W102" i="2"/>
  <c r="W103" i="2"/>
  <c r="W104" i="2"/>
  <c r="W105" i="2"/>
  <c r="W106" i="2"/>
  <c r="W107" i="2"/>
  <c r="W118" i="2"/>
  <c r="W119" i="2"/>
  <c r="W120" i="2"/>
  <c r="W97" i="2"/>
  <c r="W95" i="2"/>
  <c r="AJ7" i="3"/>
  <c r="W94" i="2"/>
  <c r="W88" i="2"/>
  <c r="W89" i="2"/>
  <c r="W90" i="2"/>
  <c r="W91" i="2"/>
  <c r="W92" i="2"/>
  <c r="W93" i="2"/>
  <c r="W87" i="2"/>
  <c r="AB7" i="3"/>
  <c r="P93" i="2"/>
  <c r="P94" i="2"/>
  <c r="P87" i="2"/>
  <c r="P88" i="2"/>
  <c r="P89" i="2"/>
  <c r="P90" i="2"/>
  <c r="P91" i="2"/>
  <c r="P92" i="2"/>
  <c r="AJ6" i="3"/>
  <c r="W58" i="2"/>
  <c r="W59" i="2"/>
  <c r="W60" i="2"/>
  <c r="W61" i="2"/>
  <c r="W62" i="2"/>
  <c r="W63" i="2"/>
  <c r="W64" i="2"/>
  <c r="W65" i="2"/>
  <c r="W66" i="2"/>
  <c r="W76" i="2"/>
  <c r="W82" i="2"/>
  <c r="W83" i="2"/>
  <c r="W84" i="2"/>
  <c r="W85" i="2"/>
  <c r="W86" i="2"/>
  <c r="W49" i="2"/>
  <c r="W80" i="2"/>
  <c r="W81" i="2"/>
  <c r="W67" i="2"/>
  <c r="W69" i="2"/>
  <c r="W70" i="2"/>
  <c r="W71" i="2"/>
  <c r="W72" i="2"/>
  <c r="W73" i="2"/>
  <c r="W74" i="2"/>
  <c r="W75" i="2"/>
  <c r="W77" i="2"/>
  <c r="W79" i="2"/>
  <c r="W68" i="2"/>
  <c r="W78" i="2"/>
  <c r="W50" i="2"/>
  <c r="W51" i="2"/>
  <c r="W52" i="2"/>
  <c r="W53" i="2"/>
  <c r="W54" i="2"/>
  <c r="W55" i="2"/>
  <c r="W56" i="2"/>
  <c r="W57" i="2"/>
  <c r="AB6" i="3"/>
  <c r="AA6" i="3"/>
  <c r="P58" i="2"/>
  <c r="P59" i="2"/>
  <c r="P60" i="2"/>
  <c r="P61" i="2"/>
  <c r="P62" i="2"/>
  <c r="P63" i="2"/>
  <c r="P64" i="2"/>
  <c r="P65" i="2"/>
  <c r="P66" i="2"/>
  <c r="P76" i="2"/>
  <c r="P82" i="2"/>
  <c r="P83" i="2"/>
  <c r="P84" i="2"/>
  <c r="P85" i="2"/>
  <c r="P86" i="2"/>
  <c r="P49" i="2"/>
  <c r="P72" i="2"/>
  <c r="P73" i="2"/>
  <c r="P74" i="2"/>
  <c r="P75" i="2"/>
  <c r="P77" i="2"/>
  <c r="P79" i="2"/>
  <c r="P80" i="2"/>
  <c r="P81" i="2"/>
  <c r="P67" i="2"/>
  <c r="P68" i="2"/>
  <c r="P69" i="2"/>
  <c r="P70" i="2"/>
  <c r="P71" i="2"/>
  <c r="P78" i="2"/>
  <c r="P50" i="2"/>
  <c r="P51" i="2"/>
  <c r="P52" i="2"/>
  <c r="P53" i="2"/>
  <c r="P54" i="2"/>
  <c r="P55" i="2"/>
  <c r="P56" i="2"/>
  <c r="P57" i="2"/>
  <c r="AJ5" i="3"/>
  <c r="W25" i="2"/>
  <c r="W5" i="2"/>
  <c r="W6" i="2"/>
  <c r="W7" i="2"/>
  <c r="W8" i="2"/>
  <c r="W9" i="2"/>
  <c r="W10" i="2"/>
  <c r="W11" i="2"/>
  <c r="W12" i="2"/>
  <c r="W13" i="2"/>
  <c r="W15" i="2"/>
  <c r="W16" i="2"/>
  <c r="W17" i="2"/>
  <c r="W18" i="2"/>
  <c r="W39" i="2"/>
  <c r="W40" i="2"/>
  <c r="W43" i="2"/>
  <c r="W44" i="2"/>
  <c r="W46" i="2"/>
  <c r="W41" i="2"/>
  <c r="W47" i="2"/>
  <c r="W48" i="2"/>
  <c r="W36" i="2"/>
  <c r="W37" i="2"/>
  <c r="W38" i="2"/>
  <c r="W42" i="2"/>
  <c r="W14" i="2"/>
  <c r="W24" i="2"/>
  <c r="W19" i="2"/>
  <c r="W20" i="2"/>
  <c r="W21" i="2"/>
  <c r="W22" i="2"/>
  <c r="W23" i="2"/>
  <c r="W26" i="2"/>
  <c r="W27" i="2"/>
  <c r="W28" i="2"/>
  <c r="W29" i="2"/>
  <c r="W30" i="2"/>
  <c r="W31" i="2"/>
  <c r="W32" i="2"/>
  <c r="W33" i="2"/>
  <c r="W34" i="2"/>
  <c r="W35" i="2"/>
  <c r="W45" i="2"/>
  <c r="AB5" i="3"/>
  <c r="P25" i="2"/>
  <c r="P5" i="2"/>
  <c r="P6" i="2"/>
  <c r="P7" i="2"/>
  <c r="P8" i="2"/>
  <c r="P9" i="2"/>
  <c r="P10" i="2"/>
  <c r="P11" i="2"/>
  <c r="P12" i="2"/>
  <c r="P13" i="2"/>
  <c r="P15" i="2"/>
  <c r="P16" i="2"/>
  <c r="P17" i="2"/>
  <c r="P18" i="2"/>
  <c r="P39" i="2"/>
  <c r="P40" i="2"/>
  <c r="P43" i="2"/>
  <c r="P44" i="2"/>
  <c r="P46" i="2"/>
  <c r="P41" i="2"/>
  <c r="P47" i="2"/>
  <c r="P48" i="2"/>
  <c r="P36" i="2"/>
  <c r="P37" i="2"/>
  <c r="P38" i="2"/>
  <c r="P42" i="2"/>
  <c r="P14" i="2"/>
  <c r="P24" i="2"/>
  <c r="P19" i="2"/>
  <c r="P20" i="2"/>
  <c r="P21" i="2"/>
  <c r="P22" i="2"/>
  <c r="P23" i="2"/>
  <c r="P26" i="2"/>
  <c r="P27" i="2"/>
  <c r="P28" i="2"/>
  <c r="P29" i="2"/>
  <c r="P30" i="2"/>
  <c r="P31" i="2"/>
  <c r="P32" i="2"/>
  <c r="P33" i="2"/>
  <c r="P34" i="2"/>
  <c r="P35" i="2"/>
  <c r="P45" i="2"/>
  <c r="Q202" i="2" l="1"/>
  <c r="Q193" i="2"/>
  <c r="Q205" i="2"/>
  <c r="Q204" i="2"/>
  <c r="Q195" i="2"/>
  <c r="Q194" i="2"/>
  <c r="Q208" i="2"/>
  <c r="Q209" i="2"/>
  <c r="Q215" i="2"/>
  <c r="Q196" i="2"/>
  <c r="Q197" i="2"/>
  <c r="Q200" i="2"/>
  <c r="Q211" i="2"/>
  <c r="Q212" i="2"/>
  <c r="Q214" i="2"/>
  <c r="Q192" i="2"/>
  <c r="Q198" i="2"/>
  <c r="Q199" i="2"/>
  <c r="Q201" i="2"/>
  <c r="Q191" i="2"/>
  <c r="AF11" i="3"/>
  <c r="Q203" i="2"/>
  <c r="Q207" i="2"/>
  <c r="Q213" i="2"/>
  <c r="Q216" i="2"/>
  <c r="Q206" i="2"/>
  <c r="Q210" i="2"/>
  <c r="X205" i="2"/>
  <c r="X194" i="2"/>
  <c r="X208" i="2"/>
  <c r="X202" i="2"/>
  <c r="X204" i="2"/>
  <c r="X195" i="2"/>
  <c r="X193" i="2"/>
  <c r="X209" i="2"/>
  <c r="X215" i="2"/>
  <c r="X196" i="2"/>
  <c r="X197" i="2"/>
  <c r="X200" i="2"/>
  <c r="X211" i="2"/>
  <c r="X212" i="2"/>
  <c r="X214" i="2"/>
  <c r="X192" i="2"/>
  <c r="X198" i="2"/>
  <c r="X199" i="2"/>
  <c r="X201" i="2"/>
  <c r="X191" i="2"/>
  <c r="AN11" i="3"/>
  <c r="X203" i="2"/>
  <c r="X207" i="2"/>
  <c r="X213" i="2"/>
  <c r="X216" i="2"/>
  <c r="X206" i="2"/>
  <c r="X210" i="2"/>
  <c r="X131" i="2"/>
  <c r="X125" i="2"/>
  <c r="X135" i="2"/>
  <c r="X133" i="2"/>
  <c r="X124" i="2"/>
  <c r="X142" i="2"/>
  <c r="X137" i="2"/>
  <c r="X130" i="2"/>
  <c r="X126" i="2"/>
  <c r="X139" i="2"/>
  <c r="X134" i="2"/>
  <c r="X127" i="2"/>
  <c r="X123" i="2"/>
  <c r="X122" i="2"/>
  <c r="X143" i="2"/>
  <c r="X145" i="2"/>
  <c r="X160" i="2"/>
  <c r="X146" i="2"/>
  <c r="X129" i="2"/>
  <c r="X147" i="2"/>
  <c r="X141" i="2"/>
  <c r="X148" i="2"/>
  <c r="X144" i="2"/>
  <c r="X140" i="2"/>
  <c r="X138" i="2"/>
  <c r="X136" i="2"/>
  <c r="X132" i="2"/>
  <c r="X150" i="2"/>
  <c r="X151" i="2"/>
  <c r="X121" i="2"/>
  <c r="AN9" i="3"/>
  <c r="X128" i="2"/>
  <c r="X158" i="2"/>
  <c r="X157" i="2"/>
  <c r="X156" i="2"/>
  <c r="X155" i="2"/>
  <c r="X154" i="2"/>
  <c r="X153" i="2"/>
  <c r="X159" i="2"/>
  <c r="X152" i="2"/>
  <c r="X149" i="2"/>
  <c r="Q137" i="2"/>
  <c r="Q132" i="2"/>
  <c r="Q125" i="2"/>
  <c r="Q123" i="2"/>
  <c r="Q122" i="2"/>
  <c r="Q143" i="2"/>
  <c r="Q145" i="2"/>
  <c r="Q160" i="2"/>
  <c r="Q146" i="2"/>
  <c r="Q129" i="2"/>
  <c r="Q147" i="2"/>
  <c r="Q141" i="2"/>
  <c r="Q148" i="2"/>
  <c r="Q144" i="2"/>
  <c r="Q140" i="2"/>
  <c r="Q134" i="2"/>
  <c r="Q130" i="2"/>
  <c r="Q126" i="2"/>
  <c r="Q142" i="2"/>
  <c r="Q151" i="2"/>
  <c r="Q121" i="2"/>
  <c r="AF9" i="3"/>
  <c r="Q128" i="2"/>
  <c r="Q158" i="2"/>
  <c r="Q157" i="2"/>
  <c r="Q156" i="2"/>
  <c r="Q155" i="2"/>
  <c r="Q154" i="2"/>
  <c r="Q153" i="2"/>
  <c r="Q159" i="2"/>
  <c r="Q152" i="2"/>
  <c r="Q149" i="2"/>
  <c r="Q136" i="2"/>
  <c r="Q138" i="2"/>
  <c r="Q131" i="2"/>
  <c r="Q127" i="2"/>
  <c r="Q139" i="2"/>
  <c r="Q135" i="2"/>
  <c r="Q133" i="2"/>
  <c r="Q124" i="2"/>
  <c r="Q150" i="2"/>
  <c r="Q190" i="2"/>
  <c r="Q182" i="2"/>
  <c r="Q162" i="2"/>
  <c r="Q173" i="2"/>
  <c r="Q161" i="2"/>
  <c r="AF10" i="3"/>
  <c r="Q187" i="2"/>
  <c r="Q179" i="2"/>
  <c r="Q165" i="2"/>
  <c r="Q166" i="2"/>
  <c r="Q168" i="2"/>
  <c r="Q180" i="2"/>
  <c r="Q177" i="2"/>
  <c r="Q178" i="2"/>
  <c r="Q174" i="2"/>
  <c r="Q170" i="2"/>
  <c r="Q188" i="2"/>
  <c r="Q169" i="2"/>
  <c r="Q171" i="2"/>
  <c r="Q167" i="2"/>
  <c r="Q176" i="2"/>
  <c r="Q175" i="2"/>
  <c r="Q185" i="2"/>
  <c r="Q184" i="2"/>
  <c r="Q183" i="2"/>
  <c r="Q186" i="2"/>
  <c r="Q189" i="2"/>
  <c r="Q172" i="2"/>
  <c r="Q181" i="2"/>
  <c r="Q163" i="2"/>
  <c r="Q164" i="2"/>
  <c r="X186" i="2"/>
  <c r="X179" i="2"/>
  <c r="X172" i="2"/>
  <c r="X181" i="2"/>
  <c r="X163" i="2"/>
  <c r="X164" i="2"/>
  <c r="X162" i="2"/>
  <c r="X167" i="2"/>
  <c r="X180" i="2"/>
  <c r="X175" i="2"/>
  <c r="X178" i="2"/>
  <c r="X170" i="2"/>
  <c r="X171" i="2"/>
  <c r="X173" i="2"/>
  <c r="X174" i="2"/>
  <c r="X161" i="2"/>
  <c r="AN10" i="3"/>
  <c r="X168" i="2"/>
  <c r="X176" i="2"/>
  <c r="X177" i="2"/>
  <c r="X189" i="2"/>
  <c r="X187" i="2"/>
  <c r="X182" i="2"/>
  <c r="X165" i="2"/>
  <c r="X166" i="2"/>
  <c r="X169" i="2"/>
  <c r="X190" i="2"/>
  <c r="X185" i="2"/>
  <c r="X184" i="2"/>
  <c r="X183" i="2"/>
  <c r="X188" i="2"/>
  <c r="Q98" i="2"/>
  <c r="R98" i="2"/>
  <c r="S98" i="2" s="1"/>
  <c r="T98" i="2" s="1"/>
  <c r="Q108" i="2"/>
  <c r="R108" i="2"/>
  <c r="S108" i="2" s="1"/>
  <c r="T108" i="2" s="1"/>
  <c r="Q109" i="2"/>
  <c r="R109" i="2"/>
  <c r="S109" i="2" s="1"/>
  <c r="T109" i="2" s="1"/>
  <c r="R112" i="2"/>
  <c r="S112" i="2" s="1"/>
  <c r="T112" i="2" s="1"/>
  <c r="Q112" i="2"/>
  <c r="Q113" i="2"/>
  <c r="R113" i="2"/>
  <c r="S113" i="2" s="1"/>
  <c r="T113" i="2" s="1"/>
  <c r="R114" i="2"/>
  <c r="S114" i="2" s="1"/>
  <c r="T114" i="2" s="1"/>
  <c r="Q114" i="2"/>
  <c r="R116" i="2"/>
  <c r="S116" i="2" s="1"/>
  <c r="T116" i="2" s="1"/>
  <c r="Q116" i="2"/>
  <c r="Q117" i="2"/>
  <c r="R117" i="2"/>
  <c r="S117" i="2" s="1"/>
  <c r="T117" i="2" s="1"/>
  <c r="Q96" i="2"/>
  <c r="R96" i="2"/>
  <c r="S96" i="2" s="1"/>
  <c r="Q99" i="2"/>
  <c r="R99" i="2"/>
  <c r="S99" i="2" s="1"/>
  <c r="T99" i="2" s="1"/>
  <c r="Q101" i="2"/>
  <c r="R101" i="2"/>
  <c r="S101" i="2" s="1"/>
  <c r="T101" i="2" s="1"/>
  <c r="Q103" i="2"/>
  <c r="R103" i="2"/>
  <c r="S103" i="2" s="1"/>
  <c r="T103" i="2" s="1"/>
  <c r="Q104" i="2"/>
  <c r="R104" i="2"/>
  <c r="S104" i="2" s="1"/>
  <c r="T104" i="2" s="1"/>
  <c r="Q105" i="2"/>
  <c r="R105" i="2"/>
  <c r="S105" i="2" s="1"/>
  <c r="T105" i="2" s="1"/>
  <c r="Q106" i="2"/>
  <c r="R106" i="2"/>
  <c r="S106" i="2" s="1"/>
  <c r="T106" i="2" s="1"/>
  <c r="Q107" i="2"/>
  <c r="R107" i="2"/>
  <c r="S107" i="2" s="1"/>
  <c r="T107" i="2" s="1"/>
  <c r="Q118" i="2"/>
  <c r="R118" i="2"/>
  <c r="S118" i="2" s="1"/>
  <c r="T118" i="2" s="1"/>
  <c r="Q119" i="2"/>
  <c r="R119" i="2"/>
  <c r="S119" i="2" s="1"/>
  <c r="T119" i="2" s="1"/>
  <c r="Q120" i="2"/>
  <c r="R120" i="2"/>
  <c r="S120" i="2" s="1"/>
  <c r="T120" i="2" s="1"/>
  <c r="Q97" i="2"/>
  <c r="R97" i="2"/>
  <c r="S97" i="2" s="1"/>
  <c r="T97" i="2" s="1"/>
  <c r="Q95" i="2"/>
  <c r="R95" i="2"/>
  <c r="S95" i="2" s="1"/>
  <c r="T95" i="2" s="1"/>
  <c r="AF8" i="3"/>
  <c r="Q110" i="2"/>
  <c r="R110" i="2"/>
  <c r="S110" i="2" s="1"/>
  <c r="T110" i="2" s="1"/>
  <c r="Q115" i="2"/>
  <c r="R115" i="2"/>
  <c r="S115" i="2" s="1"/>
  <c r="T115" i="2" s="1"/>
  <c r="Q111" i="2"/>
  <c r="R111" i="2"/>
  <c r="S111" i="2" s="1"/>
  <c r="T111" i="2" s="1"/>
  <c r="Q100" i="2"/>
  <c r="R100" i="2"/>
  <c r="S100" i="2" s="1"/>
  <c r="T100" i="2" s="1"/>
  <c r="Q102" i="2"/>
  <c r="R102" i="2"/>
  <c r="S102" i="2" s="1"/>
  <c r="T102" i="2" s="1"/>
  <c r="X108" i="2"/>
  <c r="Y108" i="2"/>
  <c r="Z108" i="2" s="1"/>
  <c r="AA108" i="2" s="1"/>
  <c r="X112" i="2"/>
  <c r="Y112" i="2"/>
  <c r="Z112" i="2" s="1"/>
  <c r="AA112" i="2" s="1"/>
  <c r="X114" i="2"/>
  <c r="Y114" i="2"/>
  <c r="Z114" i="2" s="1"/>
  <c r="AA114" i="2" s="1"/>
  <c r="X98" i="2"/>
  <c r="Y98" i="2"/>
  <c r="Z98" i="2" s="1"/>
  <c r="AA98" i="2" s="1"/>
  <c r="X109" i="2"/>
  <c r="Y109" i="2"/>
  <c r="Z109" i="2" s="1"/>
  <c r="AA109" i="2" s="1"/>
  <c r="X110" i="2"/>
  <c r="Y110" i="2"/>
  <c r="Z110" i="2" s="1"/>
  <c r="AA110" i="2" s="1"/>
  <c r="X113" i="2"/>
  <c r="Y113" i="2"/>
  <c r="Z113" i="2" s="1"/>
  <c r="AA113" i="2" s="1"/>
  <c r="X115" i="2"/>
  <c r="Y115" i="2"/>
  <c r="Z115" i="2" s="1"/>
  <c r="AA115" i="2" s="1"/>
  <c r="X116" i="2"/>
  <c r="Y116" i="2"/>
  <c r="Z116" i="2" s="1"/>
  <c r="AA116" i="2" s="1"/>
  <c r="X96" i="2"/>
  <c r="Y96" i="2"/>
  <c r="Z96" i="2" s="1"/>
  <c r="X99" i="2"/>
  <c r="Y99" i="2"/>
  <c r="Z99" i="2" s="1"/>
  <c r="AA99" i="2" s="1"/>
  <c r="X111" i="2"/>
  <c r="Y111" i="2"/>
  <c r="Z111" i="2" s="1"/>
  <c r="AA111" i="2" s="1"/>
  <c r="X117" i="2"/>
  <c r="Y117" i="2"/>
  <c r="Z117" i="2" s="1"/>
  <c r="AA117" i="2" s="1"/>
  <c r="X100" i="2"/>
  <c r="Y100" i="2"/>
  <c r="Z100" i="2" s="1"/>
  <c r="AA100" i="2" s="1"/>
  <c r="X101" i="2"/>
  <c r="Y101" i="2"/>
  <c r="Z101" i="2" s="1"/>
  <c r="AA101" i="2" s="1"/>
  <c r="X102" i="2"/>
  <c r="Y102" i="2"/>
  <c r="Z102" i="2" s="1"/>
  <c r="AA102" i="2" s="1"/>
  <c r="X103" i="2"/>
  <c r="Y103" i="2"/>
  <c r="Z103" i="2" s="1"/>
  <c r="AA103" i="2" s="1"/>
  <c r="X104" i="2"/>
  <c r="Y104" i="2"/>
  <c r="Z104" i="2" s="1"/>
  <c r="AA104" i="2" s="1"/>
  <c r="X105" i="2"/>
  <c r="Y105" i="2"/>
  <c r="Z105" i="2" s="1"/>
  <c r="AA105" i="2" s="1"/>
  <c r="X106" i="2"/>
  <c r="Y106" i="2"/>
  <c r="Z106" i="2" s="1"/>
  <c r="AA106" i="2" s="1"/>
  <c r="X107" i="2"/>
  <c r="Y107" i="2"/>
  <c r="Z107" i="2" s="1"/>
  <c r="AA107" i="2" s="1"/>
  <c r="X118" i="2"/>
  <c r="Y118" i="2"/>
  <c r="Z118" i="2" s="1"/>
  <c r="AA118" i="2" s="1"/>
  <c r="X119" i="2"/>
  <c r="Y119" i="2"/>
  <c r="Z119" i="2" s="1"/>
  <c r="AA119" i="2" s="1"/>
  <c r="X120" i="2"/>
  <c r="Y120" i="2"/>
  <c r="Z120" i="2" s="1"/>
  <c r="AA120" i="2" s="1"/>
  <c r="X97" i="2"/>
  <c r="Y97" i="2"/>
  <c r="Z97" i="2" s="1"/>
  <c r="AA97" i="2" s="1"/>
  <c r="X95" i="2"/>
  <c r="Y95" i="2"/>
  <c r="Z95" i="2" s="1"/>
  <c r="AA95" i="2" s="1"/>
  <c r="AN8" i="3"/>
  <c r="X94" i="2"/>
  <c r="X88" i="2"/>
  <c r="X89" i="2"/>
  <c r="X90" i="2"/>
  <c r="X91" i="2"/>
  <c r="X92" i="2"/>
  <c r="X93" i="2"/>
  <c r="X87" i="2"/>
  <c r="AI7" i="3" s="1"/>
  <c r="AN7" i="3"/>
  <c r="Q93" i="2"/>
  <c r="Q94" i="2"/>
  <c r="Q87" i="2"/>
  <c r="AF7" i="3"/>
  <c r="Q88" i="2"/>
  <c r="Q89" i="2"/>
  <c r="Q90" i="2"/>
  <c r="Q91" i="2"/>
  <c r="Q92" i="2"/>
  <c r="X58" i="2"/>
  <c r="X59" i="2"/>
  <c r="X60" i="2"/>
  <c r="X61" i="2"/>
  <c r="X62" i="2"/>
  <c r="X63" i="2"/>
  <c r="X64" i="2"/>
  <c r="X65" i="2"/>
  <c r="X66" i="2"/>
  <c r="X76" i="2"/>
  <c r="X82" i="2"/>
  <c r="X83" i="2"/>
  <c r="X84" i="2"/>
  <c r="X85" i="2"/>
  <c r="X86" i="2"/>
  <c r="X49" i="2"/>
  <c r="AN6" i="3"/>
  <c r="X80" i="2"/>
  <c r="X81" i="2"/>
  <c r="X67" i="2"/>
  <c r="X69" i="2"/>
  <c r="X70" i="2"/>
  <c r="X71" i="2"/>
  <c r="X72" i="2"/>
  <c r="X73" i="2"/>
  <c r="X74" i="2"/>
  <c r="X75" i="2"/>
  <c r="X77" i="2"/>
  <c r="X79" i="2"/>
  <c r="X68" i="2"/>
  <c r="X78" i="2"/>
  <c r="X50" i="2"/>
  <c r="X51" i="2"/>
  <c r="X52" i="2"/>
  <c r="X53" i="2"/>
  <c r="X54" i="2"/>
  <c r="X55" i="2"/>
  <c r="X56" i="2"/>
  <c r="X57" i="2"/>
  <c r="Q58" i="2"/>
  <c r="R58" i="2"/>
  <c r="S58" i="2" s="1"/>
  <c r="T58" i="2" s="1"/>
  <c r="Q59" i="2"/>
  <c r="R59" i="2"/>
  <c r="S59" i="2" s="1"/>
  <c r="T59" i="2" s="1"/>
  <c r="Q60" i="2"/>
  <c r="R60" i="2"/>
  <c r="S60" i="2" s="1"/>
  <c r="T60" i="2" s="1"/>
  <c r="Q61" i="2"/>
  <c r="R61" i="2"/>
  <c r="S61" i="2" s="1"/>
  <c r="T61" i="2" s="1"/>
  <c r="Q62" i="2"/>
  <c r="R62" i="2"/>
  <c r="S62" i="2" s="1"/>
  <c r="T62" i="2" s="1"/>
  <c r="Q63" i="2"/>
  <c r="R63" i="2"/>
  <c r="S63" i="2" s="1"/>
  <c r="T63" i="2" s="1"/>
  <c r="Q64" i="2"/>
  <c r="R64" i="2"/>
  <c r="S64" i="2" s="1"/>
  <c r="T64" i="2" s="1"/>
  <c r="Q65" i="2"/>
  <c r="R65" i="2"/>
  <c r="S65" i="2" s="1"/>
  <c r="T65" i="2" s="1"/>
  <c r="Q66" i="2"/>
  <c r="R66" i="2"/>
  <c r="S66" i="2" s="1"/>
  <c r="T66" i="2" s="1"/>
  <c r="Q76" i="2"/>
  <c r="R76" i="2"/>
  <c r="S76" i="2" s="1"/>
  <c r="T76" i="2" s="1"/>
  <c r="Q82" i="2"/>
  <c r="R82" i="2"/>
  <c r="S82" i="2" s="1"/>
  <c r="T82" i="2" s="1"/>
  <c r="Q83" i="2"/>
  <c r="R83" i="2"/>
  <c r="S83" i="2" s="1"/>
  <c r="T83" i="2" s="1"/>
  <c r="Q84" i="2"/>
  <c r="R84" i="2"/>
  <c r="S84" i="2" s="1"/>
  <c r="T84" i="2" s="1"/>
  <c r="Q85" i="2"/>
  <c r="R85" i="2"/>
  <c r="S85" i="2" s="1"/>
  <c r="T85" i="2" s="1"/>
  <c r="Q86" i="2"/>
  <c r="R86" i="2"/>
  <c r="S86" i="2" s="1"/>
  <c r="T86" i="2" s="1"/>
  <c r="Q49" i="2"/>
  <c r="R49" i="2"/>
  <c r="S49" i="2" s="1"/>
  <c r="AF6" i="3"/>
  <c r="Q72" i="2"/>
  <c r="R72" i="2"/>
  <c r="S72" i="2" s="1"/>
  <c r="T72" i="2" s="1"/>
  <c r="Q73" i="2"/>
  <c r="R73" i="2"/>
  <c r="S73" i="2" s="1"/>
  <c r="T73" i="2" s="1"/>
  <c r="Q74" i="2"/>
  <c r="R74" i="2"/>
  <c r="S74" i="2" s="1"/>
  <c r="T74" i="2" s="1"/>
  <c r="Q75" i="2"/>
  <c r="R75" i="2"/>
  <c r="S75" i="2" s="1"/>
  <c r="T75" i="2" s="1"/>
  <c r="Q77" i="2"/>
  <c r="R77" i="2"/>
  <c r="S77" i="2" s="1"/>
  <c r="T77" i="2" s="1"/>
  <c r="Q79" i="2"/>
  <c r="R79" i="2"/>
  <c r="S79" i="2" s="1"/>
  <c r="T79" i="2" s="1"/>
  <c r="Q80" i="2"/>
  <c r="R80" i="2"/>
  <c r="S80" i="2" s="1"/>
  <c r="T80" i="2" s="1"/>
  <c r="Q81" i="2"/>
  <c r="R81" i="2"/>
  <c r="S81" i="2" s="1"/>
  <c r="T81" i="2" s="1"/>
  <c r="Q67" i="2"/>
  <c r="R67" i="2"/>
  <c r="S67" i="2" s="1"/>
  <c r="T67" i="2" s="1"/>
  <c r="Q68" i="2"/>
  <c r="R68" i="2"/>
  <c r="S68" i="2" s="1"/>
  <c r="T68" i="2" s="1"/>
  <c r="R69" i="2"/>
  <c r="S69" i="2" s="1"/>
  <c r="T69" i="2" s="1"/>
  <c r="Q69" i="2"/>
  <c r="Q70" i="2"/>
  <c r="R70" i="2"/>
  <c r="S70" i="2" s="1"/>
  <c r="T70" i="2" s="1"/>
  <c r="Q71" i="2"/>
  <c r="R71" i="2"/>
  <c r="S71" i="2" s="1"/>
  <c r="T71" i="2" s="1"/>
  <c r="Q78" i="2"/>
  <c r="R78" i="2"/>
  <c r="S78" i="2" s="1"/>
  <c r="T78" i="2" s="1"/>
  <c r="Q50" i="2"/>
  <c r="R50" i="2"/>
  <c r="S50" i="2" s="1"/>
  <c r="T50" i="2" s="1"/>
  <c r="Q51" i="2"/>
  <c r="R51" i="2"/>
  <c r="S51" i="2" s="1"/>
  <c r="T51" i="2" s="1"/>
  <c r="Q52" i="2"/>
  <c r="R52" i="2"/>
  <c r="S52" i="2" s="1"/>
  <c r="T52" i="2" s="1"/>
  <c r="Q53" i="2"/>
  <c r="R53" i="2"/>
  <c r="S53" i="2" s="1"/>
  <c r="T53" i="2" s="1"/>
  <c r="Q54" i="2"/>
  <c r="R54" i="2"/>
  <c r="S54" i="2" s="1"/>
  <c r="T54" i="2" s="1"/>
  <c r="Q55" i="2"/>
  <c r="R55" i="2"/>
  <c r="S55" i="2" s="1"/>
  <c r="T55" i="2" s="1"/>
  <c r="Q56" i="2"/>
  <c r="R56" i="2"/>
  <c r="S56" i="2" s="1"/>
  <c r="T56" i="2" s="1"/>
  <c r="Q57" i="2"/>
  <c r="R57" i="2"/>
  <c r="S57" i="2" s="1"/>
  <c r="T57" i="2" s="1"/>
  <c r="X25" i="2"/>
  <c r="X5" i="2"/>
  <c r="AN5" i="3"/>
  <c r="X6" i="2"/>
  <c r="X7" i="2"/>
  <c r="X8" i="2"/>
  <c r="X9" i="2"/>
  <c r="X10" i="2"/>
  <c r="X11" i="2"/>
  <c r="X12" i="2"/>
  <c r="X13" i="2"/>
  <c r="X15" i="2"/>
  <c r="X16" i="2"/>
  <c r="X17" i="2"/>
  <c r="X18" i="2"/>
  <c r="X39" i="2"/>
  <c r="X40" i="2"/>
  <c r="X43" i="2"/>
  <c r="X44" i="2"/>
  <c r="X46" i="2"/>
  <c r="X41" i="2"/>
  <c r="X47" i="2"/>
  <c r="X48" i="2"/>
  <c r="X36" i="2"/>
  <c r="X37" i="2"/>
  <c r="X38" i="2"/>
  <c r="X42" i="2"/>
  <c r="X14" i="2"/>
  <c r="X24" i="2"/>
  <c r="X19" i="2"/>
  <c r="X20" i="2"/>
  <c r="X21" i="2"/>
  <c r="X22" i="2"/>
  <c r="X23" i="2"/>
  <c r="X26" i="2"/>
  <c r="X27" i="2"/>
  <c r="X28" i="2"/>
  <c r="X29" i="2"/>
  <c r="X30" i="2"/>
  <c r="X31" i="2"/>
  <c r="X32" i="2"/>
  <c r="X33" i="2"/>
  <c r="X34" i="2"/>
  <c r="X35" i="2"/>
  <c r="X45" i="2"/>
  <c r="Q25" i="2"/>
  <c r="Q5" i="2"/>
  <c r="AF5" i="3"/>
  <c r="Q6" i="2"/>
  <c r="Q7" i="2"/>
  <c r="Q8" i="2"/>
  <c r="Q9" i="2"/>
  <c r="Q10" i="2"/>
  <c r="Q11" i="2"/>
  <c r="Q12" i="2"/>
  <c r="Q13" i="2"/>
  <c r="Q15" i="2"/>
  <c r="Q16" i="2"/>
  <c r="Q17" i="2"/>
  <c r="Q18" i="2"/>
  <c r="Q39" i="2"/>
  <c r="Q40" i="2"/>
  <c r="Q43" i="2"/>
  <c r="Q44" i="2"/>
  <c r="Q46" i="2"/>
  <c r="Q41" i="2"/>
  <c r="Q47" i="2"/>
  <c r="Q48" i="2"/>
  <c r="Q36" i="2"/>
  <c r="Q37" i="2"/>
  <c r="Q38" i="2"/>
  <c r="Q42" i="2"/>
  <c r="Q14" i="2"/>
  <c r="Q24" i="2"/>
  <c r="Q19" i="2"/>
  <c r="Q20" i="2"/>
  <c r="Q21" i="2"/>
  <c r="Q22" i="2"/>
  <c r="Q23" i="2"/>
  <c r="Q26" i="2"/>
  <c r="Q27" i="2"/>
  <c r="Q28" i="2"/>
  <c r="Q29" i="2"/>
  <c r="Q30" i="2"/>
  <c r="Q31" i="2"/>
  <c r="Q32" i="2"/>
  <c r="Q33" i="2"/>
  <c r="Q34" i="2"/>
  <c r="Q35" i="2"/>
  <c r="Q45" i="2"/>
  <c r="AI9" i="3" l="1"/>
  <c r="U98" i="2"/>
  <c r="V98" i="2" s="1"/>
  <c r="U108" i="2"/>
  <c r="V108" i="2"/>
  <c r="U109" i="2"/>
  <c r="V109" i="2"/>
  <c r="U112" i="2"/>
  <c r="V112" i="2" s="1"/>
  <c r="U113" i="2"/>
  <c r="V113" i="2"/>
  <c r="U114" i="2"/>
  <c r="V114" i="2"/>
  <c r="U116" i="2"/>
  <c r="V116" i="2"/>
  <c r="U117" i="2"/>
  <c r="V117" i="2"/>
  <c r="AG8" i="3"/>
  <c r="T96" i="2"/>
  <c r="AC8" i="3" s="1"/>
  <c r="U99" i="2"/>
  <c r="V99" i="2"/>
  <c r="U101" i="2"/>
  <c r="V101" i="2"/>
  <c r="U103" i="2"/>
  <c r="V103" i="2"/>
  <c r="U104" i="2"/>
  <c r="V104" i="2"/>
  <c r="U105" i="2"/>
  <c r="V105" i="2"/>
  <c r="U106" i="2"/>
  <c r="V106" i="2" s="1"/>
  <c r="U107" i="2"/>
  <c r="V107" i="2"/>
  <c r="U118" i="2"/>
  <c r="V118" i="2"/>
  <c r="U119" i="2"/>
  <c r="V119" i="2"/>
  <c r="U120" i="2"/>
  <c r="V120" i="2"/>
  <c r="U97" i="2"/>
  <c r="V97" i="2"/>
  <c r="U95" i="2"/>
  <c r="V95" i="2"/>
  <c r="U110" i="2"/>
  <c r="V110" i="2"/>
  <c r="U115" i="2"/>
  <c r="V115" i="2"/>
  <c r="U111" i="2"/>
  <c r="V111" i="2"/>
  <c r="U100" i="2"/>
  <c r="V100" i="2"/>
  <c r="U102" i="2"/>
  <c r="V102" i="2"/>
  <c r="AB108" i="2"/>
  <c r="AC108" i="2"/>
  <c r="AB112" i="2"/>
  <c r="AC112" i="2"/>
  <c r="AB114" i="2"/>
  <c r="AC114" i="2"/>
  <c r="AB98" i="2"/>
  <c r="AC98" i="2"/>
  <c r="AB109" i="2"/>
  <c r="AC109" i="2"/>
  <c r="AB110" i="2"/>
  <c r="AC110" i="2"/>
  <c r="AB113" i="2"/>
  <c r="AC113" i="2"/>
  <c r="AB115" i="2"/>
  <c r="AC115" i="2"/>
  <c r="AB116" i="2"/>
  <c r="AC116" i="2"/>
  <c r="AO8" i="3"/>
  <c r="AA96" i="2"/>
  <c r="AK8" i="3" s="1"/>
  <c r="AB99" i="2"/>
  <c r="AC99" i="2" s="1"/>
  <c r="AB111" i="2"/>
  <c r="AC111" i="2"/>
  <c r="AB117" i="2"/>
  <c r="AC117" i="2"/>
  <c r="AB100" i="2"/>
  <c r="AC100" i="2"/>
  <c r="AB101" i="2"/>
  <c r="AC101" i="2"/>
  <c r="AB102" i="2"/>
  <c r="AC102" i="2"/>
  <c r="AB103" i="2"/>
  <c r="AC103" i="2"/>
  <c r="AB104" i="2"/>
  <c r="AC104" i="2"/>
  <c r="AB105" i="2"/>
  <c r="AC105" i="2"/>
  <c r="AB106" i="2"/>
  <c r="AC106" i="2"/>
  <c r="AB107" i="2"/>
  <c r="AC107" i="2"/>
  <c r="AB118" i="2"/>
  <c r="AC118" i="2"/>
  <c r="AB119" i="2"/>
  <c r="AC119" i="2"/>
  <c r="AB120" i="2"/>
  <c r="AC120" i="2"/>
  <c r="AB97" i="2"/>
  <c r="AC97" i="2"/>
  <c r="AB95" i="2"/>
  <c r="AC95" i="2"/>
  <c r="U58" i="2"/>
  <c r="V58" i="2"/>
  <c r="U59" i="2"/>
  <c r="V59" i="2"/>
  <c r="U60" i="2"/>
  <c r="V60" i="2"/>
  <c r="U61" i="2"/>
  <c r="V61" i="2"/>
  <c r="U62" i="2"/>
  <c r="V62" i="2"/>
  <c r="U63" i="2"/>
  <c r="V63" i="2"/>
  <c r="U64" i="2"/>
  <c r="V64" i="2"/>
  <c r="U65" i="2"/>
  <c r="V65" i="2"/>
  <c r="U66" i="2"/>
  <c r="V66" i="2"/>
  <c r="U76" i="2"/>
  <c r="V76" i="2"/>
  <c r="U82" i="2"/>
  <c r="V82" i="2"/>
  <c r="U83" i="2"/>
  <c r="V83" i="2"/>
  <c r="U84" i="2"/>
  <c r="V84" i="2"/>
  <c r="U85" i="2"/>
  <c r="V85" i="2"/>
  <c r="U86" i="2"/>
  <c r="V86" i="2"/>
  <c r="AG6" i="3"/>
  <c r="T49" i="2"/>
  <c r="U72" i="2"/>
  <c r="V72" i="2"/>
  <c r="U73" i="2"/>
  <c r="V73" i="2"/>
  <c r="U74" i="2"/>
  <c r="V74" i="2"/>
  <c r="U75" i="2"/>
  <c r="V75" i="2"/>
  <c r="U77" i="2"/>
  <c r="V77" i="2"/>
  <c r="U79" i="2"/>
  <c r="V79" i="2"/>
  <c r="U80" i="2"/>
  <c r="V80" i="2" s="1"/>
  <c r="U81" i="2"/>
  <c r="V81" i="2"/>
  <c r="U67" i="2"/>
  <c r="V67" i="2"/>
  <c r="U68" i="2"/>
  <c r="V68" i="2"/>
  <c r="U69" i="2"/>
  <c r="V69" i="2" s="1"/>
  <c r="U70" i="2"/>
  <c r="V70" i="2"/>
  <c r="U71" i="2"/>
  <c r="V71" i="2"/>
  <c r="U78" i="2"/>
  <c r="V78" i="2" s="1"/>
  <c r="U50" i="2"/>
  <c r="V50" i="2"/>
  <c r="U51" i="2"/>
  <c r="V51" i="2"/>
  <c r="U52" i="2"/>
  <c r="V52" i="2"/>
  <c r="U53" i="2"/>
  <c r="V53" i="2"/>
  <c r="U54" i="2"/>
  <c r="V54" i="2"/>
  <c r="U55" i="2"/>
  <c r="V55" i="2"/>
  <c r="U56" i="2"/>
  <c r="V56" i="2"/>
  <c r="U57" i="2"/>
  <c r="V57" i="2" s="1"/>
  <c r="AA11" i="3"/>
  <c r="AA9" i="3"/>
  <c r="AI11" i="3"/>
  <c r="AA10" i="3"/>
  <c r="AI10" i="3"/>
  <c r="AA7" i="3"/>
  <c r="AI6" i="3"/>
  <c r="AI5" i="3"/>
  <c r="C12" i="4"/>
  <c r="AA5" i="3"/>
  <c r="B12" i="4"/>
  <c r="Y131" i="2"/>
  <c r="Z131" i="2" s="1"/>
  <c r="AA131" i="2" s="1"/>
  <c r="Y124" i="2"/>
  <c r="Z124" i="2" s="1"/>
  <c r="AA124" i="2" s="1"/>
  <c r="Y130" i="2"/>
  <c r="Z130" i="2" s="1"/>
  <c r="AA130" i="2" s="1"/>
  <c r="Y134" i="2"/>
  <c r="Z134" i="2" s="1"/>
  <c r="AA134" i="2" s="1"/>
  <c r="Y145" i="2"/>
  <c r="Z145" i="2" s="1"/>
  <c r="AA145" i="2" s="1"/>
  <c r="Y129" i="2"/>
  <c r="Z129" i="2" s="1"/>
  <c r="AA129" i="2" s="1"/>
  <c r="Y148" i="2"/>
  <c r="Z148" i="2" s="1"/>
  <c r="AA148" i="2" s="1"/>
  <c r="Y136" i="2"/>
  <c r="Z136" i="2" s="1"/>
  <c r="AA136" i="2" s="1"/>
  <c r="Y151" i="2"/>
  <c r="Z151" i="2" s="1"/>
  <c r="AA151" i="2" s="1"/>
  <c r="Y157" i="2"/>
  <c r="Z157" i="2" s="1"/>
  <c r="AA157" i="2" s="1"/>
  <c r="Y153" i="2"/>
  <c r="Z153" i="2" s="1"/>
  <c r="AA153" i="2" s="1"/>
  <c r="Y149" i="2"/>
  <c r="Z149" i="2" s="1"/>
  <c r="AA149" i="2" s="1"/>
  <c r="Y89" i="2"/>
  <c r="Z89" i="2" s="1"/>
  <c r="AA89" i="2" s="1"/>
  <c r="Y92" i="2"/>
  <c r="Z92" i="2" s="1"/>
  <c r="AA92" i="2" s="1"/>
  <c r="Y94" i="2"/>
  <c r="Z94" i="2" s="1"/>
  <c r="AA94" i="2" s="1"/>
  <c r="Y88" i="2"/>
  <c r="Z88" i="2" s="1"/>
  <c r="AA88" i="2" s="1"/>
  <c r="Y90" i="2"/>
  <c r="Z90" i="2" s="1"/>
  <c r="AA90" i="2" s="1"/>
  <c r="Y91" i="2"/>
  <c r="Z91" i="2" s="1"/>
  <c r="AA91" i="2" s="1"/>
  <c r="Y87" i="2"/>
  <c r="Z87" i="2" s="1"/>
  <c r="Y93" i="2"/>
  <c r="Z93" i="2" s="1"/>
  <c r="AA93" i="2" s="1"/>
  <c r="Y150" i="2" l="1"/>
  <c r="Z150" i="2" s="1"/>
  <c r="AA150" i="2" s="1"/>
  <c r="Y155" i="2"/>
  <c r="Z155" i="2" s="1"/>
  <c r="AA155" i="2" s="1"/>
  <c r="AB155" i="2" s="1"/>
  <c r="AC155" i="2" s="1"/>
  <c r="Y159" i="2"/>
  <c r="Z159" i="2" s="1"/>
  <c r="AA159" i="2" s="1"/>
  <c r="AB159" i="2" s="1"/>
  <c r="AC159" i="2" s="1"/>
  <c r="Y135" i="2"/>
  <c r="Z135" i="2" s="1"/>
  <c r="AA135" i="2" s="1"/>
  <c r="AB135" i="2" s="1"/>
  <c r="AC135" i="2" s="1"/>
  <c r="Y126" i="2"/>
  <c r="Z126" i="2" s="1"/>
  <c r="AA126" i="2" s="1"/>
  <c r="Y127" i="2"/>
  <c r="Z127" i="2" s="1"/>
  <c r="AA127" i="2" s="1"/>
  <c r="Y122" i="2"/>
  <c r="Z122" i="2" s="1"/>
  <c r="AA122" i="2" s="1"/>
  <c r="Y146" i="2"/>
  <c r="Z146" i="2" s="1"/>
  <c r="AA146" i="2" s="1"/>
  <c r="Y141" i="2"/>
  <c r="Z141" i="2" s="1"/>
  <c r="AA141" i="2" s="1"/>
  <c r="Y140" i="2"/>
  <c r="Z140" i="2" s="1"/>
  <c r="AA140" i="2" s="1"/>
  <c r="Y123" i="2"/>
  <c r="Z123" i="2" s="1"/>
  <c r="AA123" i="2" s="1"/>
  <c r="Y132" i="2"/>
  <c r="Z132" i="2" s="1"/>
  <c r="AA132" i="2" s="1"/>
  <c r="Y125" i="2"/>
  <c r="Z125" i="2" s="1"/>
  <c r="Y133" i="2"/>
  <c r="Z133" i="2" s="1"/>
  <c r="AA133" i="2" s="1"/>
  <c r="Y137" i="2"/>
  <c r="Z137" i="2" s="1"/>
  <c r="AA137" i="2" s="1"/>
  <c r="Y139" i="2"/>
  <c r="Z139" i="2" s="1"/>
  <c r="AA139" i="2" s="1"/>
  <c r="Y142" i="2"/>
  <c r="Z142" i="2" s="1"/>
  <c r="AA142" i="2" s="1"/>
  <c r="AB142" i="2" s="1"/>
  <c r="AC142" i="2" s="1"/>
  <c r="Y143" i="2"/>
  <c r="Z143" i="2" s="1"/>
  <c r="AA143" i="2" s="1"/>
  <c r="AB143" i="2" s="1"/>
  <c r="AC143" i="2" s="1"/>
  <c r="Y160" i="2"/>
  <c r="Z160" i="2" s="1"/>
  <c r="AA160" i="2" s="1"/>
  <c r="AB160" i="2" s="1"/>
  <c r="AC160" i="2" s="1"/>
  <c r="Y154" i="2"/>
  <c r="Z154" i="2" s="1"/>
  <c r="AA154" i="2" s="1"/>
  <c r="AB154" i="2" s="1"/>
  <c r="AC154" i="2" s="1"/>
  <c r="Y152" i="2"/>
  <c r="Z152" i="2" s="1"/>
  <c r="AA152" i="2" s="1"/>
  <c r="AB152" i="2" s="1"/>
  <c r="AC152" i="2" s="1"/>
  <c r="Y147" i="2"/>
  <c r="Z147" i="2" s="1"/>
  <c r="AA147" i="2" s="1"/>
  <c r="Y144" i="2"/>
  <c r="Z144" i="2" s="1"/>
  <c r="AA144" i="2" s="1"/>
  <c r="AB144" i="2" s="1"/>
  <c r="AC144" i="2" s="1"/>
  <c r="Y138" i="2"/>
  <c r="Z138" i="2" s="1"/>
  <c r="AA138" i="2" s="1"/>
  <c r="AB138" i="2" s="1"/>
  <c r="AC138" i="2" s="1"/>
  <c r="Y121" i="2"/>
  <c r="Z121" i="2" s="1"/>
  <c r="AA121" i="2" s="1"/>
  <c r="AB121" i="2" s="1"/>
  <c r="AC121" i="2" s="1"/>
  <c r="Y128" i="2"/>
  <c r="Z128" i="2" s="1"/>
  <c r="AA128" i="2" s="1"/>
  <c r="AB128" i="2" s="1"/>
  <c r="AC128" i="2" s="1"/>
  <c r="Y158" i="2"/>
  <c r="Z158" i="2" s="1"/>
  <c r="AA158" i="2" s="1"/>
  <c r="AB158" i="2" s="1"/>
  <c r="AC158" i="2" s="1"/>
  <c r="Y156" i="2"/>
  <c r="Z156" i="2" s="1"/>
  <c r="AA156" i="2" s="1"/>
  <c r="AB156" i="2" s="1"/>
  <c r="AC156" i="2" s="1"/>
  <c r="U96" i="2"/>
  <c r="AD8" i="3" s="1"/>
  <c r="AE8" i="3" s="1"/>
  <c r="V96" i="2"/>
  <c r="AB96" i="2"/>
  <c r="AL8" i="3" s="1"/>
  <c r="AM8" i="3" s="1"/>
  <c r="AC96" i="2"/>
  <c r="U49" i="2"/>
  <c r="AD6" i="3" s="1"/>
  <c r="V49" i="2"/>
  <c r="AC6" i="3"/>
  <c r="R201" i="2"/>
  <c r="S201" i="2" s="1"/>
  <c r="T201" i="2" s="1"/>
  <c r="R199" i="2"/>
  <c r="S199" i="2" s="1"/>
  <c r="T199" i="2" s="1"/>
  <c r="R198" i="2"/>
  <c r="S198" i="2" s="1"/>
  <c r="T198" i="2" s="1"/>
  <c r="R192" i="2"/>
  <c r="S192" i="2" s="1"/>
  <c r="T192" i="2" s="1"/>
  <c r="R214" i="2"/>
  <c r="S214" i="2" s="1"/>
  <c r="T214" i="2" s="1"/>
  <c r="R212" i="2"/>
  <c r="S212" i="2" s="1"/>
  <c r="T212" i="2" s="1"/>
  <c r="R211" i="2"/>
  <c r="S211" i="2" s="1"/>
  <c r="T211" i="2" s="1"/>
  <c r="R200" i="2"/>
  <c r="S200" i="2" s="1"/>
  <c r="T200" i="2" s="1"/>
  <c r="R197" i="2"/>
  <c r="S197" i="2" s="1"/>
  <c r="T197" i="2" s="1"/>
  <c r="R196" i="2"/>
  <c r="S196" i="2" s="1"/>
  <c r="T196" i="2" s="1"/>
  <c r="R215" i="2"/>
  <c r="S215" i="2" s="1"/>
  <c r="T215" i="2" s="1"/>
  <c r="R209" i="2"/>
  <c r="S209" i="2" s="1"/>
  <c r="T209" i="2" s="1"/>
  <c r="R208" i="2"/>
  <c r="S208" i="2" s="1"/>
  <c r="T208" i="2" s="1"/>
  <c r="R194" i="2"/>
  <c r="S194" i="2" s="1"/>
  <c r="T194" i="2" s="1"/>
  <c r="R195" i="2"/>
  <c r="S195" i="2" s="1"/>
  <c r="T195" i="2" s="1"/>
  <c r="R204" i="2"/>
  <c r="S204" i="2" s="1"/>
  <c r="T204" i="2" s="1"/>
  <c r="R205" i="2"/>
  <c r="S205" i="2" s="1"/>
  <c r="T205" i="2" s="1"/>
  <c r="R193" i="2"/>
  <c r="S193" i="2" s="1"/>
  <c r="T193" i="2" s="1"/>
  <c r="R202" i="2"/>
  <c r="S202" i="2" s="1"/>
  <c r="T202" i="2" s="1"/>
  <c r="R210" i="2"/>
  <c r="S210" i="2" s="1"/>
  <c r="T210" i="2" s="1"/>
  <c r="R216" i="2"/>
  <c r="S216" i="2" s="1"/>
  <c r="T216" i="2" s="1"/>
  <c r="R213" i="2"/>
  <c r="S213" i="2" s="1"/>
  <c r="T213" i="2" s="1"/>
  <c r="R207" i="2"/>
  <c r="S207" i="2" s="1"/>
  <c r="T207" i="2" s="1"/>
  <c r="R203" i="2"/>
  <c r="S203" i="2" s="1"/>
  <c r="T203" i="2" s="1"/>
  <c r="R191" i="2"/>
  <c r="S191" i="2" s="1"/>
  <c r="R206" i="2"/>
  <c r="S206" i="2" s="1"/>
  <c r="T206" i="2" s="1"/>
  <c r="R134" i="2"/>
  <c r="S134" i="2" s="1"/>
  <c r="T134" i="2" s="1"/>
  <c r="R142" i="2"/>
  <c r="S142" i="2" s="1"/>
  <c r="T142" i="2" s="1"/>
  <c r="R130" i="2"/>
  <c r="S130" i="2" s="1"/>
  <c r="T130" i="2" s="1"/>
  <c r="R150" i="2"/>
  <c r="S150" i="2" s="1"/>
  <c r="T150" i="2" s="1"/>
  <c r="R135" i="2"/>
  <c r="S135" i="2" s="1"/>
  <c r="T135" i="2" s="1"/>
  <c r="R138" i="2"/>
  <c r="S138" i="2" s="1"/>
  <c r="T138" i="2" s="1"/>
  <c r="R152" i="2"/>
  <c r="S152" i="2" s="1"/>
  <c r="T152" i="2" s="1"/>
  <c r="R159" i="2"/>
  <c r="S159" i="2" s="1"/>
  <c r="T159" i="2" s="1"/>
  <c r="R155" i="2"/>
  <c r="S155" i="2" s="1"/>
  <c r="T155" i="2" s="1"/>
  <c r="R156" i="2"/>
  <c r="S156" i="2" s="1"/>
  <c r="T156" i="2" s="1"/>
  <c r="R158" i="2"/>
  <c r="S158" i="2" s="1"/>
  <c r="T158" i="2" s="1"/>
  <c r="R128" i="2"/>
  <c r="S128" i="2" s="1"/>
  <c r="T128" i="2" s="1"/>
  <c r="R151" i="2"/>
  <c r="S151" i="2" s="1"/>
  <c r="T151" i="2" s="1"/>
  <c r="R126" i="2"/>
  <c r="S126" i="2" s="1"/>
  <c r="T126" i="2" s="1"/>
  <c r="R144" i="2"/>
  <c r="S144" i="2" s="1"/>
  <c r="T144" i="2" s="1"/>
  <c r="R148" i="2"/>
  <c r="S148" i="2" s="1"/>
  <c r="T148" i="2" s="1"/>
  <c r="R147" i="2"/>
  <c r="S147" i="2" s="1"/>
  <c r="T147" i="2" s="1"/>
  <c r="R129" i="2"/>
  <c r="S129" i="2" s="1"/>
  <c r="T129" i="2" s="1"/>
  <c r="R160" i="2"/>
  <c r="S160" i="2" s="1"/>
  <c r="T160" i="2" s="1"/>
  <c r="R145" i="2"/>
  <c r="S145" i="2" s="1"/>
  <c r="T145" i="2" s="1"/>
  <c r="R122" i="2"/>
  <c r="S122" i="2" s="1"/>
  <c r="T122" i="2" s="1"/>
  <c r="R123" i="2"/>
  <c r="S123" i="2" s="1"/>
  <c r="T123" i="2" s="1"/>
  <c r="R132" i="2"/>
  <c r="S132" i="2" s="1"/>
  <c r="T132" i="2" s="1"/>
  <c r="R137" i="2"/>
  <c r="S137" i="2" s="1"/>
  <c r="T137" i="2" s="1"/>
  <c r="R133" i="2"/>
  <c r="S133" i="2" s="1"/>
  <c r="T133" i="2" s="1"/>
  <c r="R131" i="2"/>
  <c r="S131" i="2" s="1"/>
  <c r="T131" i="2" s="1"/>
  <c r="R136" i="2"/>
  <c r="S136" i="2" s="1"/>
  <c r="T136" i="2" s="1"/>
  <c r="R153" i="2"/>
  <c r="S153" i="2" s="1"/>
  <c r="T153" i="2" s="1"/>
  <c r="R139" i="2"/>
  <c r="S139" i="2" s="1"/>
  <c r="T139" i="2" s="1"/>
  <c r="R149" i="2"/>
  <c r="S149" i="2" s="1"/>
  <c r="T149" i="2" s="1"/>
  <c r="R154" i="2"/>
  <c r="S154" i="2" s="1"/>
  <c r="T154" i="2" s="1"/>
  <c r="R157" i="2"/>
  <c r="S157" i="2" s="1"/>
  <c r="T157" i="2" s="1"/>
  <c r="R121" i="2"/>
  <c r="S121" i="2" s="1"/>
  <c r="T121" i="2" s="1"/>
  <c r="R140" i="2"/>
  <c r="S140" i="2" s="1"/>
  <c r="T140" i="2" s="1"/>
  <c r="R141" i="2"/>
  <c r="S141" i="2" s="1"/>
  <c r="T141" i="2" s="1"/>
  <c r="R146" i="2"/>
  <c r="S146" i="2" s="1"/>
  <c r="T146" i="2" s="1"/>
  <c r="R143" i="2"/>
  <c r="S143" i="2" s="1"/>
  <c r="T143" i="2" s="1"/>
  <c r="R125" i="2"/>
  <c r="S125" i="2" s="1"/>
  <c r="R124" i="2"/>
  <c r="S124" i="2" s="1"/>
  <c r="T124" i="2" s="1"/>
  <c r="R127" i="2"/>
  <c r="S127" i="2" s="1"/>
  <c r="T127" i="2" s="1"/>
  <c r="Y201" i="2"/>
  <c r="Z201" i="2" s="1"/>
  <c r="AA201" i="2" s="1"/>
  <c r="Y199" i="2"/>
  <c r="Z199" i="2" s="1"/>
  <c r="AA199" i="2" s="1"/>
  <c r="Y198" i="2"/>
  <c r="Z198" i="2" s="1"/>
  <c r="AA198" i="2" s="1"/>
  <c r="Y192" i="2"/>
  <c r="Z192" i="2" s="1"/>
  <c r="AA192" i="2" s="1"/>
  <c r="Y214" i="2"/>
  <c r="Z214" i="2" s="1"/>
  <c r="AA214" i="2" s="1"/>
  <c r="Y212" i="2"/>
  <c r="Z212" i="2" s="1"/>
  <c r="AA212" i="2" s="1"/>
  <c r="Y216" i="2"/>
  <c r="Z216" i="2" s="1"/>
  <c r="AA216" i="2" s="1"/>
  <c r="Y203" i="2"/>
  <c r="Z203" i="2" s="1"/>
  <c r="AA203" i="2" s="1"/>
  <c r="Y215" i="2"/>
  <c r="Z215" i="2" s="1"/>
  <c r="AA215" i="2" s="1"/>
  <c r="Y193" i="2"/>
  <c r="Z193" i="2" s="1"/>
  <c r="AA193" i="2" s="1"/>
  <c r="Y204" i="2"/>
  <c r="Z204" i="2" s="1"/>
  <c r="AA204" i="2" s="1"/>
  <c r="Y208" i="2"/>
  <c r="Z208" i="2" s="1"/>
  <c r="AA208" i="2" s="1"/>
  <c r="Y205" i="2"/>
  <c r="Z205" i="2" s="1"/>
  <c r="AA205" i="2" s="1"/>
  <c r="Y210" i="2"/>
  <c r="Z210" i="2" s="1"/>
  <c r="AA210" i="2" s="1"/>
  <c r="Y213" i="2"/>
  <c r="Z213" i="2" s="1"/>
  <c r="AA213" i="2" s="1"/>
  <c r="Y200" i="2"/>
  <c r="Z200" i="2" s="1"/>
  <c r="AA200" i="2" s="1"/>
  <c r="Y196" i="2"/>
  <c r="Z196" i="2" s="1"/>
  <c r="AA196" i="2" s="1"/>
  <c r="Y209" i="2"/>
  <c r="Z209" i="2" s="1"/>
  <c r="AA209" i="2" s="1"/>
  <c r="Y195" i="2"/>
  <c r="Z195" i="2" s="1"/>
  <c r="AA195" i="2" s="1"/>
  <c r="Y202" i="2"/>
  <c r="Z202" i="2" s="1"/>
  <c r="AA202" i="2" s="1"/>
  <c r="Y194" i="2"/>
  <c r="Z194" i="2" s="1"/>
  <c r="AA194" i="2" s="1"/>
  <c r="Y206" i="2"/>
  <c r="Z206" i="2" s="1"/>
  <c r="AA206" i="2" s="1"/>
  <c r="Y207" i="2"/>
  <c r="Z207" i="2" s="1"/>
  <c r="AA207" i="2" s="1"/>
  <c r="Y211" i="2"/>
  <c r="Z211" i="2" s="1"/>
  <c r="AA211" i="2" s="1"/>
  <c r="Y197" i="2"/>
  <c r="Z197" i="2" s="1"/>
  <c r="AA197" i="2" s="1"/>
  <c r="Y191" i="2"/>
  <c r="Z191" i="2" s="1"/>
  <c r="R173" i="2"/>
  <c r="S173" i="2" s="1"/>
  <c r="T173" i="2" s="1"/>
  <c r="R162" i="2"/>
  <c r="S162" i="2" s="1"/>
  <c r="T162" i="2" s="1"/>
  <c r="R182" i="2"/>
  <c r="S182" i="2" s="1"/>
  <c r="T182" i="2" s="1"/>
  <c r="R190" i="2"/>
  <c r="S190" i="2" s="1"/>
  <c r="T190" i="2" s="1"/>
  <c r="R164" i="2"/>
  <c r="S164" i="2" s="1"/>
  <c r="T164" i="2" s="1"/>
  <c r="R163" i="2"/>
  <c r="S163" i="2" s="1"/>
  <c r="T163" i="2" s="1"/>
  <c r="R181" i="2"/>
  <c r="S181" i="2" s="1"/>
  <c r="T181" i="2" s="1"/>
  <c r="R172" i="2"/>
  <c r="S172" i="2" s="1"/>
  <c r="T172" i="2" s="1"/>
  <c r="R189" i="2"/>
  <c r="S189" i="2" s="1"/>
  <c r="T189" i="2" s="1"/>
  <c r="R186" i="2"/>
  <c r="S186" i="2" s="1"/>
  <c r="T186" i="2" s="1"/>
  <c r="R183" i="2"/>
  <c r="S183" i="2" s="1"/>
  <c r="T183" i="2" s="1"/>
  <c r="R184" i="2"/>
  <c r="S184" i="2" s="1"/>
  <c r="T184" i="2" s="1"/>
  <c r="R185" i="2"/>
  <c r="S185" i="2" s="1"/>
  <c r="T185" i="2" s="1"/>
  <c r="R175" i="2"/>
  <c r="S175" i="2" s="1"/>
  <c r="T175" i="2" s="1"/>
  <c r="R176" i="2"/>
  <c r="S176" i="2" s="1"/>
  <c r="T176" i="2" s="1"/>
  <c r="R167" i="2"/>
  <c r="S167" i="2" s="1"/>
  <c r="T167" i="2" s="1"/>
  <c r="R171" i="2"/>
  <c r="S171" i="2" s="1"/>
  <c r="T171" i="2" s="1"/>
  <c r="R169" i="2"/>
  <c r="S169" i="2" s="1"/>
  <c r="T169" i="2" s="1"/>
  <c r="R188" i="2"/>
  <c r="S188" i="2" s="1"/>
  <c r="T188" i="2" s="1"/>
  <c r="R170" i="2"/>
  <c r="S170" i="2" s="1"/>
  <c r="T170" i="2" s="1"/>
  <c r="R174" i="2"/>
  <c r="S174" i="2" s="1"/>
  <c r="T174" i="2" s="1"/>
  <c r="R178" i="2"/>
  <c r="S178" i="2" s="1"/>
  <c r="T178" i="2" s="1"/>
  <c r="R177" i="2"/>
  <c r="S177" i="2" s="1"/>
  <c r="T177" i="2" s="1"/>
  <c r="R180" i="2"/>
  <c r="S180" i="2" s="1"/>
  <c r="T180" i="2" s="1"/>
  <c r="R168" i="2"/>
  <c r="S168" i="2" s="1"/>
  <c r="T168" i="2" s="1"/>
  <c r="R166" i="2"/>
  <c r="S166" i="2" s="1"/>
  <c r="T166" i="2" s="1"/>
  <c r="R165" i="2"/>
  <c r="S165" i="2" s="1"/>
  <c r="T165" i="2" s="1"/>
  <c r="R179" i="2"/>
  <c r="S179" i="2" s="1"/>
  <c r="T179" i="2" s="1"/>
  <c r="R187" i="2"/>
  <c r="S187" i="2" s="1"/>
  <c r="T187" i="2" s="1"/>
  <c r="R161" i="2"/>
  <c r="S161" i="2" s="1"/>
  <c r="Y174" i="2"/>
  <c r="Z174" i="2" s="1"/>
  <c r="AA174" i="2" s="1"/>
  <c r="Y173" i="2"/>
  <c r="Z173" i="2" s="1"/>
  <c r="AA173" i="2" s="1"/>
  <c r="Y171" i="2"/>
  <c r="Z171" i="2" s="1"/>
  <c r="AA171" i="2" s="1"/>
  <c r="Y183" i="2"/>
  <c r="Z183" i="2" s="1"/>
  <c r="AA183" i="2" s="1"/>
  <c r="Y185" i="2"/>
  <c r="Z185" i="2" s="1"/>
  <c r="AA185" i="2" s="1"/>
  <c r="Y169" i="2"/>
  <c r="Z169" i="2" s="1"/>
  <c r="AA169" i="2" s="1"/>
  <c r="Y165" i="2"/>
  <c r="Z165" i="2" s="1"/>
  <c r="AA165" i="2" s="1"/>
  <c r="Y187" i="2"/>
  <c r="Z187" i="2" s="1"/>
  <c r="AA187" i="2" s="1"/>
  <c r="Y177" i="2"/>
  <c r="Z177" i="2" s="1"/>
  <c r="AA177" i="2" s="1"/>
  <c r="Y168" i="2"/>
  <c r="Z168" i="2" s="1"/>
  <c r="AA168" i="2" s="1"/>
  <c r="Y170" i="2"/>
  <c r="Z170" i="2" s="1"/>
  <c r="AA170" i="2" s="1"/>
  <c r="Y178" i="2"/>
  <c r="Z178" i="2" s="1"/>
  <c r="AA178" i="2" s="1"/>
  <c r="Y175" i="2"/>
  <c r="Z175" i="2" s="1"/>
  <c r="AA175" i="2" s="1"/>
  <c r="Y180" i="2"/>
  <c r="Z180" i="2" s="1"/>
  <c r="AA180" i="2" s="1"/>
  <c r="Y167" i="2"/>
  <c r="Z167" i="2" s="1"/>
  <c r="AA167" i="2" s="1"/>
  <c r="Y162" i="2"/>
  <c r="Z162" i="2" s="1"/>
  <c r="AA162" i="2" s="1"/>
  <c r="Y164" i="2"/>
  <c r="Z164" i="2" s="1"/>
  <c r="AA164" i="2" s="1"/>
  <c r="Y163" i="2"/>
  <c r="Z163" i="2" s="1"/>
  <c r="AA163" i="2" s="1"/>
  <c r="Y181" i="2"/>
  <c r="Z181" i="2" s="1"/>
  <c r="AA181" i="2" s="1"/>
  <c r="Y172" i="2"/>
  <c r="Z172" i="2" s="1"/>
  <c r="AA172" i="2" s="1"/>
  <c r="Y179" i="2"/>
  <c r="Z179" i="2" s="1"/>
  <c r="AA179" i="2" s="1"/>
  <c r="Y186" i="2"/>
  <c r="Z186" i="2" s="1"/>
  <c r="AA186" i="2" s="1"/>
  <c r="Y188" i="2"/>
  <c r="Z188" i="2" s="1"/>
  <c r="AA188" i="2" s="1"/>
  <c r="Y184" i="2"/>
  <c r="Z184" i="2" s="1"/>
  <c r="AA184" i="2" s="1"/>
  <c r="Y190" i="2"/>
  <c r="Z190" i="2" s="1"/>
  <c r="AA190" i="2" s="1"/>
  <c r="Y166" i="2"/>
  <c r="Z166" i="2" s="1"/>
  <c r="AA166" i="2" s="1"/>
  <c r="Y182" i="2"/>
  <c r="Z182" i="2" s="1"/>
  <c r="AA182" i="2" s="1"/>
  <c r="Y189" i="2"/>
  <c r="Z189" i="2" s="1"/>
  <c r="AA189" i="2" s="1"/>
  <c r="Y176" i="2"/>
  <c r="Z176" i="2" s="1"/>
  <c r="AA176" i="2" s="1"/>
  <c r="Y161" i="2"/>
  <c r="Z161" i="2" s="1"/>
  <c r="R94" i="2"/>
  <c r="S94" i="2" s="1"/>
  <c r="T94" i="2" s="1"/>
  <c r="R93" i="2"/>
  <c r="S93" i="2" s="1"/>
  <c r="T93" i="2" s="1"/>
  <c r="R92" i="2"/>
  <c r="S92" i="2" s="1"/>
  <c r="T92" i="2" s="1"/>
  <c r="R90" i="2"/>
  <c r="S90" i="2" s="1"/>
  <c r="T90" i="2" s="1"/>
  <c r="R89" i="2"/>
  <c r="S89" i="2" s="1"/>
  <c r="T89" i="2" s="1"/>
  <c r="R88" i="2"/>
  <c r="S88" i="2" s="1"/>
  <c r="T88" i="2" s="1"/>
  <c r="R87" i="2"/>
  <c r="S87" i="2" s="1"/>
  <c r="R91" i="2"/>
  <c r="S91" i="2" s="1"/>
  <c r="T91" i="2" s="1"/>
  <c r="Y86" i="2"/>
  <c r="Z86" i="2" s="1"/>
  <c r="AA86" i="2" s="1"/>
  <c r="Y85" i="2"/>
  <c r="Z85" i="2" s="1"/>
  <c r="AA85" i="2" s="1"/>
  <c r="Y84" i="2"/>
  <c r="Z84" i="2" s="1"/>
  <c r="AA84" i="2" s="1"/>
  <c r="Y83" i="2"/>
  <c r="Z83" i="2" s="1"/>
  <c r="AA83" i="2" s="1"/>
  <c r="Y82" i="2"/>
  <c r="Z82" i="2" s="1"/>
  <c r="AA82" i="2" s="1"/>
  <c r="Y76" i="2"/>
  <c r="Z76" i="2" s="1"/>
  <c r="AA76" i="2" s="1"/>
  <c r="Y65" i="2"/>
  <c r="Z65" i="2" s="1"/>
  <c r="AA65" i="2" s="1"/>
  <c r="Y63" i="2"/>
  <c r="Z63" i="2" s="1"/>
  <c r="AA63" i="2" s="1"/>
  <c r="Y62" i="2"/>
  <c r="Z62" i="2" s="1"/>
  <c r="AA62" i="2" s="1"/>
  <c r="Y60" i="2"/>
  <c r="Z60" i="2" s="1"/>
  <c r="AA60" i="2" s="1"/>
  <c r="Y58" i="2"/>
  <c r="Z58" i="2" s="1"/>
  <c r="AA58" i="2" s="1"/>
  <c r="Y54" i="2"/>
  <c r="Z54" i="2" s="1"/>
  <c r="AA54" i="2" s="1"/>
  <c r="Y68" i="2"/>
  <c r="Z68" i="2" s="1"/>
  <c r="AA68" i="2" s="1"/>
  <c r="Y71" i="2"/>
  <c r="Z71" i="2" s="1"/>
  <c r="AA71" i="2" s="1"/>
  <c r="Y67" i="2"/>
  <c r="Z67" i="2" s="1"/>
  <c r="AA67" i="2" s="1"/>
  <c r="Y56" i="2"/>
  <c r="Z56" i="2" s="1"/>
  <c r="AA56" i="2" s="1"/>
  <c r="Y51" i="2"/>
  <c r="Z51" i="2" s="1"/>
  <c r="AA51" i="2" s="1"/>
  <c r="Y77" i="2"/>
  <c r="Z77" i="2" s="1"/>
  <c r="AA77" i="2" s="1"/>
  <c r="Y72" i="2"/>
  <c r="Z72" i="2" s="1"/>
  <c r="AA72" i="2" s="1"/>
  <c r="Y69" i="2"/>
  <c r="Z69" i="2" s="1"/>
  <c r="AA69" i="2" s="1"/>
  <c r="Y80" i="2"/>
  <c r="Z80" i="2" s="1"/>
  <c r="AA80" i="2" s="1"/>
  <c r="Y49" i="2"/>
  <c r="Z49" i="2" s="1"/>
  <c r="Y66" i="2"/>
  <c r="Z66" i="2" s="1"/>
  <c r="AA66" i="2" s="1"/>
  <c r="Y64" i="2"/>
  <c r="Z64" i="2" s="1"/>
  <c r="AA64" i="2" s="1"/>
  <c r="Y61" i="2"/>
  <c r="Z61" i="2" s="1"/>
  <c r="AA61" i="2" s="1"/>
  <c r="Y59" i="2"/>
  <c r="Z59" i="2" s="1"/>
  <c r="AA59" i="2" s="1"/>
  <c r="Y74" i="2"/>
  <c r="Z74" i="2" s="1"/>
  <c r="AA74" i="2" s="1"/>
  <c r="Y55" i="2"/>
  <c r="Z55" i="2" s="1"/>
  <c r="AA55" i="2" s="1"/>
  <c r="Y79" i="2"/>
  <c r="Z79" i="2" s="1"/>
  <c r="AA79" i="2" s="1"/>
  <c r="Y52" i="2"/>
  <c r="Z52" i="2" s="1"/>
  <c r="AA52" i="2" s="1"/>
  <c r="Y78" i="2"/>
  <c r="Z78" i="2" s="1"/>
  <c r="AA78" i="2" s="1"/>
  <c r="Y73" i="2"/>
  <c r="Z73" i="2" s="1"/>
  <c r="AA73" i="2" s="1"/>
  <c r="Y57" i="2"/>
  <c r="Z57" i="2" s="1"/>
  <c r="AA57" i="2" s="1"/>
  <c r="Y50" i="2"/>
  <c r="Z50" i="2" s="1"/>
  <c r="AA50" i="2" s="1"/>
  <c r="Y70" i="2"/>
  <c r="Z70" i="2" s="1"/>
  <c r="AA70" i="2" s="1"/>
  <c r="Y53" i="2"/>
  <c r="Z53" i="2" s="1"/>
  <c r="AA53" i="2" s="1"/>
  <c r="Y75" i="2"/>
  <c r="Z75" i="2" s="1"/>
  <c r="AA75" i="2" s="1"/>
  <c r="Y81" i="2"/>
  <c r="Z81" i="2" s="1"/>
  <c r="AA81" i="2" s="1"/>
  <c r="Y25" i="2"/>
  <c r="Z25" i="2" s="1"/>
  <c r="AA25" i="2" s="1"/>
  <c r="Y45" i="2"/>
  <c r="Z45" i="2" s="1"/>
  <c r="AA45" i="2" s="1"/>
  <c r="Y35" i="2"/>
  <c r="Z35" i="2" s="1"/>
  <c r="AA35" i="2" s="1"/>
  <c r="Y34" i="2"/>
  <c r="Z34" i="2" s="1"/>
  <c r="AA34" i="2" s="1"/>
  <c r="Y33" i="2"/>
  <c r="Z33" i="2" s="1"/>
  <c r="AA33" i="2" s="1"/>
  <c r="Y32" i="2"/>
  <c r="Z32" i="2" s="1"/>
  <c r="AA32" i="2" s="1"/>
  <c r="Y31" i="2"/>
  <c r="Z31" i="2" s="1"/>
  <c r="AA31" i="2" s="1"/>
  <c r="Y30" i="2"/>
  <c r="Z30" i="2" s="1"/>
  <c r="AA30" i="2" s="1"/>
  <c r="Y29" i="2"/>
  <c r="Z29" i="2" s="1"/>
  <c r="AA29" i="2" s="1"/>
  <c r="Y28" i="2"/>
  <c r="Z28" i="2" s="1"/>
  <c r="AA28" i="2" s="1"/>
  <c r="Y27" i="2"/>
  <c r="Z27" i="2" s="1"/>
  <c r="AA27" i="2" s="1"/>
  <c r="Y26" i="2"/>
  <c r="Z26" i="2" s="1"/>
  <c r="AA26" i="2" s="1"/>
  <c r="Y23" i="2"/>
  <c r="Z23" i="2" s="1"/>
  <c r="AA23" i="2" s="1"/>
  <c r="Y22" i="2"/>
  <c r="Z22" i="2" s="1"/>
  <c r="AA22" i="2" s="1"/>
  <c r="Y21" i="2"/>
  <c r="Z21" i="2" s="1"/>
  <c r="AA21" i="2" s="1"/>
  <c r="Y20" i="2"/>
  <c r="Z20" i="2" s="1"/>
  <c r="AA20" i="2" s="1"/>
  <c r="Y19" i="2"/>
  <c r="Z19" i="2" s="1"/>
  <c r="AA19" i="2" s="1"/>
  <c r="Y24" i="2"/>
  <c r="Z24" i="2" s="1"/>
  <c r="AA24" i="2" s="1"/>
  <c r="Y14" i="2"/>
  <c r="Z14" i="2" s="1"/>
  <c r="AA14" i="2" s="1"/>
  <c r="Y42" i="2"/>
  <c r="Z42" i="2" s="1"/>
  <c r="AA42" i="2" s="1"/>
  <c r="Y38" i="2"/>
  <c r="Z38" i="2" s="1"/>
  <c r="AA38" i="2" s="1"/>
  <c r="Y37" i="2"/>
  <c r="Z37" i="2" s="1"/>
  <c r="AA37" i="2" s="1"/>
  <c r="Y36" i="2"/>
  <c r="Z36" i="2" s="1"/>
  <c r="AA36" i="2" s="1"/>
  <c r="Y48" i="2"/>
  <c r="Z48" i="2" s="1"/>
  <c r="AA48" i="2" s="1"/>
  <c r="Y47" i="2"/>
  <c r="Z47" i="2" s="1"/>
  <c r="AA47" i="2" s="1"/>
  <c r="Y41" i="2"/>
  <c r="Z41" i="2" s="1"/>
  <c r="AA41" i="2" s="1"/>
  <c r="Y46" i="2"/>
  <c r="Z46" i="2" s="1"/>
  <c r="AA46" i="2" s="1"/>
  <c r="Y44" i="2"/>
  <c r="Z44" i="2" s="1"/>
  <c r="AA44" i="2" s="1"/>
  <c r="Y43" i="2"/>
  <c r="Z43" i="2" s="1"/>
  <c r="AA43" i="2" s="1"/>
  <c r="Y40" i="2"/>
  <c r="Z40" i="2" s="1"/>
  <c r="AA40" i="2" s="1"/>
  <c r="Y39" i="2"/>
  <c r="Z39" i="2" s="1"/>
  <c r="AA39" i="2" s="1"/>
  <c r="Y18" i="2"/>
  <c r="Z18" i="2" s="1"/>
  <c r="AA18" i="2" s="1"/>
  <c r="Y17" i="2"/>
  <c r="Z17" i="2" s="1"/>
  <c r="AA17" i="2" s="1"/>
  <c r="Y16" i="2"/>
  <c r="Z16" i="2" s="1"/>
  <c r="AA16" i="2" s="1"/>
  <c r="Y15" i="2"/>
  <c r="Z15" i="2" s="1"/>
  <c r="AA15" i="2" s="1"/>
  <c r="Y13" i="2"/>
  <c r="Z13" i="2" s="1"/>
  <c r="AA13" i="2" s="1"/>
  <c r="Y12" i="2"/>
  <c r="Z12" i="2" s="1"/>
  <c r="AA12" i="2" s="1"/>
  <c r="Y11" i="2"/>
  <c r="Z11" i="2" s="1"/>
  <c r="AA11" i="2" s="1"/>
  <c r="Y10" i="2"/>
  <c r="Z10" i="2" s="1"/>
  <c r="AA10" i="2" s="1"/>
  <c r="Y9" i="2"/>
  <c r="Z9" i="2" s="1"/>
  <c r="Y8" i="2"/>
  <c r="Z8" i="2" s="1"/>
  <c r="AA8" i="2" s="1"/>
  <c r="Y7" i="2"/>
  <c r="Z7" i="2" s="1"/>
  <c r="AA7" i="2" s="1"/>
  <c r="Y6" i="2"/>
  <c r="Z6" i="2" s="1"/>
  <c r="AA6" i="2" s="1"/>
  <c r="Y5" i="2"/>
  <c r="Z5" i="2" s="1"/>
  <c r="AA5" i="2" s="1"/>
  <c r="R25" i="2"/>
  <c r="S25" i="2" s="1"/>
  <c r="T25" i="2" s="1"/>
  <c r="R35" i="2"/>
  <c r="S35" i="2" s="1"/>
  <c r="T35" i="2" s="1"/>
  <c r="R33" i="2"/>
  <c r="S33" i="2" s="1"/>
  <c r="T33" i="2" s="1"/>
  <c r="R31" i="2"/>
  <c r="S31" i="2" s="1"/>
  <c r="T31" i="2" s="1"/>
  <c r="R29" i="2"/>
  <c r="S29" i="2" s="1"/>
  <c r="T29" i="2" s="1"/>
  <c r="R27" i="2"/>
  <c r="S27" i="2" s="1"/>
  <c r="T27" i="2" s="1"/>
  <c r="R23" i="2"/>
  <c r="S23" i="2" s="1"/>
  <c r="T23" i="2" s="1"/>
  <c r="R21" i="2"/>
  <c r="S21" i="2" s="1"/>
  <c r="T21" i="2" s="1"/>
  <c r="R20" i="2"/>
  <c r="S20" i="2" s="1"/>
  <c r="T20" i="2" s="1"/>
  <c r="R19" i="2"/>
  <c r="S19" i="2" s="1"/>
  <c r="T19" i="2" s="1"/>
  <c r="R24" i="2"/>
  <c r="S24" i="2" s="1"/>
  <c r="T24" i="2" s="1"/>
  <c r="R14" i="2"/>
  <c r="S14" i="2" s="1"/>
  <c r="T14" i="2" s="1"/>
  <c r="R42" i="2"/>
  <c r="S42" i="2" s="1"/>
  <c r="T42" i="2" s="1"/>
  <c r="R38" i="2"/>
  <c r="S38" i="2" s="1"/>
  <c r="T38" i="2" s="1"/>
  <c r="R37" i="2"/>
  <c r="S37" i="2" s="1"/>
  <c r="T37" i="2" s="1"/>
  <c r="R36" i="2"/>
  <c r="S36" i="2" s="1"/>
  <c r="T36" i="2" s="1"/>
  <c r="R48" i="2"/>
  <c r="S48" i="2" s="1"/>
  <c r="T48" i="2" s="1"/>
  <c r="R47" i="2"/>
  <c r="S47" i="2" s="1"/>
  <c r="T47" i="2" s="1"/>
  <c r="R41" i="2"/>
  <c r="S41" i="2" s="1"/>
  <c r="T41" i="2" s="1"/>
  <c r="R46" i="2"/>
  <c r="S46" i="2" s="1"/>
  <c r="T46" i="2" s="1"/>
  <c r="R44" i="2"/>
  <c r="S44" i="2" s="1"/>
  <c r="T44" i="2" s="1"/>
  <c r="R43" i="2"/>
  <c r="S43" i="2" s="1"/>
  <c r="T43" i="2" s="1"/>
  <c r="R40" i="2"/>
  <c r="S40" i="2" s="1"/>
  <c r="T40" i="2" s="1"/>
  <c r="R39" i="2"/>
  <c r="S39" i="2" s="1"/>
  <c r="T39" i="2" s="1"/>
  <c r="R18" i="2"/>
  <c r="S18" i="2" s="1"/>
  <c r="T18" i="2" s="1"/>
  <c r="R17" i="2"/>
  <c r="S17" i="2" s="1"/>
  <c r="T17" i="2" s="1"/>
  <c r="R16" i="2"/>
  <c r="S16" i="2" s="1"/>
  <c r="T16" i="2" s="1"/>
  <c r="R15" i="2"/>
  <c r="S15" i="2" s="1"/>
  <c r="T15" i="2" s="1"/>
  <c r="R13" i="2"/>
  <c r="S13" i="2" s="1"/>
  <c r="T13" i="2" s="1"/>
  <c r="R12" i="2"/>
  <c r="S12" i="2" s="1"/>
  <c r="T12" i="2" s="1"/>
  <c r="R11" i="2"/>
  <c r="S11" i="2" s="1"/>
  <c r="T11" i="2" s="1"/>
  <c r="R10" i="2"/>
  <c r="S10" i="2" s="1"/>
  <c r="T10" i="2" s="1"/>
  <c r="R9" i="2"/>
  <c r="S9" i="2" s="1"/>
  <c r="R45" i="2"/>
  <c r="S45" i="2" s="1"/>
  <c r="T45" i="2" s="1"/>
  <c r="R34" i="2"/>
  <c r="S34" i="2" s="1"/>
  <c r="T34" i="2" s="1"/>
  <c r="R32" i="2"/>
  <c r="S32" i="2" s="1"/>
  <c r="T32" i="2" s="1"/>
  <c r="R30" i="2"/>
  <c r="S30" i="2" s="1"/>
  <c r="T30" i="2" s="1"/>
  <c r="R28" i="2"/>
  <c r="S28" i="2" s="1"/>
  <c r="T28" i="2" s="1"/>
  <c r="R26" i="2"/>
  <c r="S26" i="2" s="1"/>
  <c r="T26" i="2" s="1"/>
  <c r="R22" i="2"/>
  <c r="S22" i="2" s="1"/>
  <c r="T22" i="2" s="1"/>
  <c r="R8" i="2"/>
  <c r="S8" i="2" s="1"/>
  <c r="T8" i="2" s="1"/>
  <c r="R7" i="2"/>
  <c r="S7" i="2" s="1"/>
  <c r="T7" i="2" s="1"/>
  <c r="R6" i="2"/>
  <c r="S6" i="2" s="1"/>
  <c r="T6" i="2" s="1"/>
  <c r="R5" i="2"/>
  <c r="S5" i="2" s="1"/>
  <c r="T5" i="2" s="1"/>
  <c r="AB131" i="2"/>
  <c r="AC131" i="2" s="1"/>
  <c r="AB124" i="2"/>
  <c r="AC124" i="2" s="1"/>
  <c r="AB130" i="2"/>
  <c r="AC130" i="2" s="1"/>
  <c r="AB134" i="2"/>
  <c r="AC134" i="2" s="1"/>
  <c r="AB145" i="2"/>
  <c r="AC145" i="2" s="1"/>
  <c r="AB129" i="2"/>
  <c r="AC129" i="2" s="1"/>
  <c r="AB148" i="2"/>
  <c r="AC148" i="2" s="1"/>
  <c r="AB136" i="2"/>
  <c r="AC136" i="2" s="1"/>
  <c r="AB151" i="2"/>
  <c r="AC151" i="2" s="1"/>
  <c r="AB157" i="2"/>
  <c r="AC157" i="2" s="1"/>
  <c r="AB153" i="2"/>
  <c r="AC153" i="2" s="1"/>
  <c r="AB149" i="2"/>
  <c r="AC149" i="2" s="1"/>
  <c r="AB126" i="2"/>
  <c r="AC126" i="2" s="1"/>
  <c r="AB127" i="2"/>
  <c r="AC127" i="2" s="1"/>
  <c r="AB122" i="2"/>
  <c r="AC122" i="2" s="1"/>
  <c r="AB146" i="2"/>
  <c r="AC146" i="2" s="1"/>
  <c r="AB141" i="2"/>
  <c r="AC141" i="2" s="1"/>
  <c r="AB140" i="2"/>
  <c r="AC140" i="2" s="1"/>
  <c r="AB123" i="2"/>
  <c r="AC123" i="2" s="1"/>
  <c r="AB132" i="2"/>
  <c r="AC132" i="2" s="1"/>
  <c r="AA125" i="2"/>
  <c r="AK9" i="3" s="1"/>
  <c r="AO9" i="3"/>
  <c r="AB133" i="2"/>
  <c r="AC133" i="2" s="1"/>
  <c r="AB137" i="2"/>
  <c r="AC137" i="2" s="1"/>
  <c r="AB139" i="2"/>
  <c r="AC139" i="2" s="1"/>
  <c r="AB150" i="2"/>
  <c r="AC150" i="2" s="1"/>
  <c r="AB89" i="2"/>
  <c r="AC89" i="2" s="1"/>
  <c r="AB92" i="2"/>
  <c r="AC92" i="2" s="1"/>
  <c r="AB94" i="2"/>
  <c r="AC94" i="2" s="1"/>
  <c r="AB88" i="2"/>
  <c r="AC88" i="2" s="1"/>
  <c r="AB90" i="2"/>
  <c r="AC90" i="2" s="1"/>
  <c r="AB91" i="2"/>
  <c r="AC91" i="2" s="1"/>
  <c r="AA87" i="2"/>
  <c r="AO7" i="3"/>
  <c r="AB93" i="2"/>
  <c r="AC93" i="2" s="1"/>
  <c r="D12" i="4"/>
  <c r="AE6" i="3" l="1"/>
  <c r="AB147" i="2"/>
  <c r="AC147" i="2"/>
  <c r="U201" i="2"/>
  <c r="V201" i="2" s="1"/>
  <c r="U199" i="2"/>
  <c r="V199" i="2" s="1"/>
  <c r="U198" i="2"/>
  <c r="V198" i="2" s="1"/>
  <c r="U192" i="2"/>
  <c r="V192" i="2" s="1"/>
  <c r="U214" i="2"/>
  <c r="V214" i="2" s="1"/>
  <c r="U212" i="2"/>
  <c r="V212" i="2" s="1"/>
  <c r="U211" i="2"/>
  <c r="V211" i="2" s="1"/>
  <c r="U200" i="2"/>
  <c r="V200" i="2" s="1"/>
  <c r="U197" i="2"/>
  <c r="V197" i="2" s="1"/>
  <c r="U196" i="2"/>
  <c r="V196" i="2" s="1"/>
  <c r="U215" i="2"/>
  <c r="V215" i="2" s="1"/>
  <c r="U209" i="2"/>
  <c r="V209" i="2" s="1"/>
  <c r="U208" i="2"/>
  <c r="V208" i="2" s="1"/>
  <c r="U194" i="2"/>
  <c r="V194" i="2" s="1"/>
  <c r="U195" i="2"/>
  <c r="V195" i="2" s="1"/>
  <c r="U204" i="2"/>
  <c r="V204" i="2" s="1"/>
  <c r="U205" i="2"/>
  <c r="V205" i="2" s="1"/>
  <c r="U193" i="2"/>
  <c r="V193" i="2" s="1"/>
  <c r="U202" i="2"/>
  <c r="V202" i="2" s="1"/>
  <c r="U210" i="2"/>
  <c r="V210" i="2" s="1"/>
  <c r="U216" i="2"/>
  <c r="V216" i="2" s="1"/>
  <c r="U213" i="2"/>
  <c r="V213" i="2" s="1"/>
  <c r="U207" i="2"/>
  <c r="V207" i="2"/>
  <c r="U203" i="2"/>
  <c r="V203" i="2" s="1"/>
  <c r="T191" i="2"/>
  <c r="AG11" i="3"/>
  <c r="U206" i="2"/>
  <c r="V206" i="2" s="1"/>
  <c r="U134" i="2"/>
  <c r="V134" i="2" s="1"/>
  <c r="U142" i="2"/>
  <c r="V142" i="2" s="1"/>
  <c r="U130" i="2"/>
  <c r="V130" i="2" s="1"/>
  <c r="U150" i="2"/>
  <c r="V150" i="2" s="1"/>
  <c r="U135" i="2"/>
  <c r="V135" i="2" s="1"/>
  <c r="U138" i="2"/>
  <c r="V138" i="2" s="1"/>
  <c r="U152" i="2"/>
  <c r="V152" i="2" s="1"/>
  <c r="U159" i="2"/>
  <c r="V159" i="2" s="1"/>
  <c r="U155" i="2"/>
  <c r="V155" i="2" s="1"/>
  <c r="U156" i="2"/>
  <c r="V156" i="2" s="1"/>
  <c r="U158" i="2"/>
  <c r="V158" i="2" s="1"/>
  <c r="U128" i="2"/>
  <c r="V128" i="2" s="1"/>
  <c r="U151" i="2"/>
  <c r="V151" i="2" s="1"/>
  <c r="U126" i="2"/>
  <c r="V126" i="2" s="1"/>
  <c r="U144" i="2"/>
  <c r="V144" i="2" s="1"/>
  <c r="U148" i="2"/>
  <c r="V148" i="2" s="1"/>
  <c r="U147" i="2"/>
  <c r="V147" i="2" s="1"/>
  <c r="U129" i="2"/>
  <c r="V129" i="2" s="1"/>
  <c r="U160" i="2"/>
  <c r="V160" i="2" s="1"/>
  <c r="U145" i="2"/>
  <c r="V145" i="2" s="1"/>
  <c r="U122" i="2"/>
  <c r="V122" i="2" s="1"/>
  <c r="U123" i="2"/>
  <c r="V123" i="2" s="1"/>
  <c r="U132" i="2"/>
  <c r="V132" i="2" s="1"/>
  <c r="U137" i="2"/>
  <c r="V137" i="2" s="1"/>
  <c r="U133" i="2"/>
  <c r="V133" i="2" s="1"/>
  <c r="U131" i="2"/>
  <c r="V131" i="2" s="1"/>
  <c r="U136" i="2"/>
  <c r="V136" i="2" s="1"/>
  <c r="U153" i="2"/>
  <c r="V153" i="2" s="1"/>
  <c r="U139" i="2"/>
  <c r="V139" i="2" s="1"/>
  <c r="U149" i="2"/>
  <c r="V149" i="2" s="1"/>
  <c r="U154" i="2"/>
  <c r="V154" i="2" s="1"/>
  <c r="U157" i="2"/>
  <c r="V157" i="2" s="1"/>
  <c r="U121" i="2"/>
  <c r="V121" i="2" s="1"/>
  <c r="U140" i="2"/>
  <c r="V140" i="2" s="1"/>
  <c r="U141" i="2"/>
  <c r="V141" i="2"/>
  <c r="U146" i="2"/>
  <c r="V146" i="2"/>
  <c r="U143" i="2"/>
  <c r="V143" i="2" s="1"/>
  <c r="T125" i="2"/>
  <c r="AC9" i="3" s="1"/>
  <c r="AG9" i="3"/>
  <c r="U124" i="2"/>
  <c r="V124" i="2" s="1"/>
  <c r="U127" i="2"/>
  <c r="V127" i="2" s="1"/>
  <c r="AB201" i="2"/>
  <c r="AC201" i="2" s="1"/>
  <c r="AB199" i="2"/>
  <c r="AC199" i="2" s="1"/>
  <c r="AB198" i="2"/>
  <c r="AC198" i="2" s="1"/>
  <c r="AB192" i="2"/>
  <c r="AC192" i="2" s="1"/>
  <c r="AB214" i="2"/>
  <c r="AC214" i="2" s="1"/>
  <c r="AB212" i="2"/>
  <c r="AC212" i="2" s="1"/>
  <c r="AB216" i="2"/>
  <c r="AC216" i="2" s="1"/>
  <c r="AB203" i="2"/>
  <c r="AC203" i="2" s="1"/>
  <c r="AB215" i="2"/>
  <c r="AC215" i="2" s="1"/>
  <c r="AB193" i="2"/>
  <c r="AC193" i="2" s="1"/>
  <c r="AB204" i="2"/>
  <c r="AC204" i="2" s="1"/>
  <c r="AB208" i="2"/>
  <c r="AC208" i="2" s="1"/>
  <c r="AB205" i="2"/>
  <c r="AC205" i="2" s="1"/>
  <c r="AB210" i="2"/>
  <c r="AC210" i="2" s="1"/>
  <c r="AB213" i="2"/>
  <c r="AC213" i="2" s="1"/>
  <c r="AB200" i="2"/>
  <c r="AC200" i="2" s="1"/>
  <c r="AB196" i="2"/>
  <c r="AC196" i="2" s="1"/>
  <c r="AB209" i="2"/>
  <c r="AC209" i="2" s="1"/>
  <c r="AB195" i="2"/>
  <c r="AC195" i="2" s="1"/>
  <c r="AB202" i="2"/>
  <c r="AC202" i="2" s="1"/>
  <c r="AB194" i="2"/>
  <c r="AC194" i="2" s="1"/>
  <c r="AB206" i="2"/>
  <c r="AC206" i="2"/>
  <c r="AB207" i="2"/>
  <c r="AC207" i="2" s="1"/>
  <c r="AB211" i="2"/>
  <c r="AC211" i="2" s="1"/>
  <c r="AB197" i="2"/>
  <c r="AC197" i="2" s="1"/>
  <c r="AA191" i="2"/>
  <c r="AO11" i="3"/>
  <c r="U173" i="2"/>
  <c r="V173" i="2" s="1"/>
  <c r="U162" i="2"/>
  <c r="V162" i="2" s="1"/>
  <c r="U182" i="2"/>
  <c r="V182" i="2" s="1"/>
  <c r="U190" i="2"/>
  <c r="V190" i="2" s="1"/>
  <c r="U164" i="2"/>
  <c r="V164" i="2" s="1"/>
  <c r="U163" i="2"/>
  <c r="V163" i="2" s="1"/>
  <c r="U181" i="2"/>
  <c r="V181" i="2" s="1"/>
  <c r="U172" i="2"/>
  <c r="V172" i="2" s="1"/>
  <c r="U189" i="2"/>
  <c r="V189" i="2" s="1"/>
  <c r="U186" i="2"/>
  <c r="V186" i="2" s="1"/>
  <c r="U183" i="2"/>
  <c r="V183" i="2" s="1"/>
  <c r="U184" i="2"/>
  <c r="V184" i="2" s="1"/>
  <c r="U185" i="2"/>
  <c r="V185" i="2" s="1"/>
  <c r="U175" i="2"/>
  <c r="V175" i="2" s="1"/>
  <c r="U176" i="2"/>
  <c r="V176" i="2" s="1"/>
  <c r="U167" i="2"/>
  <c r="V167" i="2" s="1"/>
  <c r="U171" i="2"/>
  <c r="V171" i="2"/>
  <c r="U169" i="2"/>
  <c r="V169" i="2" s="1"/>
  <c r="U188" i="2"/>
  <c r="V188" i="2" s="1"/>
  <c r="U170" i="2"/>
  <c r="V170" i="2" s="1"/>
  <c r="U174" i="2"/>
  <c r="V174" i="2" s="1"/>
  <c r="U178" i="2"/>
  <c r="V178" i="2" s="1"/>
  <c r="U177" i="2"/>
  <c r="V177" i="2" s="1"/>
  <c r="U180" i="2"/>
  <c r="V180" i="2" s="1"/>
  <c r="U168" i="2"/>
  <c r="V168" i="2" s="1"/>
  <c r="U166" i="2"/>
  <c r="V166" i="2" s="1"/>
  <c r="U165" i="2"/>
  <c r="V165" i="2" s="1"/>
  <c r="U179" i="2"/>
  <c r="V179" i="2" s="1"/>
  <c r="U187" i="2"/>
  <c r="V187" i="2" s="1"/>
  <c r="T161" i="2"/>
  <c r="AG10" i="3"/>
  <c r="AB174" i="2"/>
  <c r="AC174" i="2" s="1"/>
  <c r="AB173" i="2"/>
  <c r="AC173" i="2" s="1"/>
  <c r="AB171" i="2"/>
  <c r="AC171" i="2" s="1"/>
  <c r="AB183" i="2"/>
  <c r="AC183" i="2" s="1"/>
  <c r="AB185" i="2"/>
  <c r="AC185" i="2" s="1"/>
  <c r="AB169" i="2"/>
  <c r="AC169" i="2" s="1"/>
  <c r="AB165" i="2"/>
  <c r="AC165" i="2" s="1"/>
  <c r="AB187" i="2"/>
  <c r="AC187" i="2" s="1"/>
  <c r="AB177" i="2"/>
  <c r="AC177" i="2" s="1"/>
  <c r="AB168" i="2"/>
  <c r="AC168" i="2" s="1"/>
  <c r="AB170" i="2"/>
  <c r="AC170" i="2" s="1"/>
  <c r="AB178" i="2"/>
  <c r="AC178" i="2" s="1"/>
  <c r="AB175" i="2"/>
  <c r="AC175" i="2" s="1"/>
  <c r="AB180" i="2"/>
  <c r="AC180" i="2" s="1"/>
  <c r="AB167" i="2"/>
  <c r="AC167" i="2" s="1"/>
  <c r="AB162" i="2"/>
  <c r="AC162" i="2" s="1"/>
  <c r="AB164" i="2"/>
  <c r="AC164" i="2" s="1"/>
  <c r="AB163" i="2"/>
  <c r="AC163" i="2" s="1"/>
  <c r="AB181" i="2"/>
  <c r="AC181" i="2" s="1"/>
  <c r="AB172" i="2"/>
  <c r="AC172" i="2" s="1"/>
  <c r="AB179" i="2"/>
  <c r="AC179" i="2" s="1"/>
  <c r="AB186" i="2"/>
  <c r="AC186" i="2" s="1"/>
  <c r="AB188" i="2"/>
  <c r="AC188" i="2" s="1"/>
  <c r="AB184" i="2"/>
  <c r="AC184" i="2" s="1"/>
  <c r="AB190" i="2"/>
  <c r="AC190" i="2" s="1"/>
  <c r="AB166" i="2"/>
  <c r="AC166" i="2" s="1"/>
  <c r="AB182" i="2"/>
  <c r="AC182" i="2" s="1"/>
  <c r="AB189" i="2"/>
  <c r="AC189" i="2" s="1"/>
  <c r="AB176" i="2"/>
  <c r="AC176" i="2" s="1"/>
  <c r="AA161" i="2"/>
  <c r="AO10" i="3"/>
  <c r="U94" i="2"/>
  <c r="V94" i="2" s="1"/>
  <c r="U93" i="2"/>
  <c r="V93" i="2" s="1"/>
  <c r="U92" i="2"/>
  <c r="V92" i="2" s="1"/>
  <c r="U90" i="2"/>
  <c r="V90" i="2" s="1"/>
  <c r="U89" i="2"/>
  <c r="V89" i="2" s="1"/>
  <c r="U88" i="2"/>
  <c r="V88" i="2" s="1"/>
  <c r="T87" i="2"/>
  <c r="AG7" i="3"/>
  <c r="U91" i="2"/>
  <c r="V91" i="2" s="1"/>
  <c r="AB86" i="2"/>
  <c r="AC86" i="2" s="1"/>
  <c r="AB85" i="2"/>
  <c r="AC85" i="2" s="1"/>
  <c r="AB84" i="2"/>
  <c r="AC84" i="2" s="1"/>
  <c r="AB83" i="2"/>
  <c r="AC83" i="2" s="1"/>
  <c r="AB82" i="2"/>
  <c r="AC82" i="2" s="1"/>
  <c r="AB76" i="2"/>
  <c r="AC76" i="2" s="1"/>
  <c r="AB65" i="2"/>
  <c r="AC65" i="2" s="1"/>
  <c r="AB63" i="2"/>
  <c r="AC63" i="2" s="1"/>
  <c r="AB62" i="2"/>
  <c r="AC62" i="2" s="1"/>
  <c r="AB60" i="2"/>
  <c r="AC60" i="2" s="1"/>
  <c r="AB58" i="2"/>
  <c r="AC58" i="2" s="1"/>
  <c r="AB54" i="2"/>
  <c r="AC54" i="2" s="1"/>
  <c r="AB68" i="2"/>
  <c r="AC68" i="2" s="1"/>
  <c r="AB71" i="2"/>
  <c r="AC71" i="2" s="1"/>
  <c r="AB67" i="2"/>
  <c r="AC67" i="2"/>
  <c r="AB56" i="2"/>
  <c r="AC56" i="2" s="1"/>
  <c r="AB51" i="2"/>
  <c r="AC51" i="2" s="1"/>
  <c r="AB77" i="2"/>
  <c r="AC77" i="2" s="1"/>
  <c r="AB72" i="2"/>
  <c r="AC72" i="2" s="1"/>
  <c r="AB69" i="2"/>
  <c r="AC69" i="2" s="1"/>
  <c r="AB80" i="2"/>
  <c r="AC80" i="2" s="1"/>
  <c r="AA49" i="2"/>
  <c r="AO6" i="3"/>
  <c r="AB66" i="2"/>
  <c r="AC66" i="2" s="1"/>
  <c r="AB64" i="2"/>
  <c r="AC64" i="2" s="1"/>
  <c r="AB61" i="2"/>
  <c r="AC61" i="2" s="1"/>
  <c r="AB59" i="2"/>
  <c r="AC59" i="2" s="1"/>
  <c r="AB74" i="2"/>
  <c r="AC74" i="2" s="1"/>
  <c r="AB55" i="2"/>
  <c r="AC55" i="2" s="1"/>
  <c r="AB79" i="2"/>
  <c r="AC79" i="2" s="1"/>
  <c r="AB52" i="2"/>
  <c r="AC52" i="2" s="1"/>
  <c r="AB78" i="2"/>
  <c r="AC78" i="2" s="1"/>
  <c r="AB73" i="2"/>
  <c r="AC73" i="2" s="1"/>
  <c r="AB57" i="2"/>
  <c r="AC57" i="2" s="1"/>
  <c r="AB50" i="2"/>
  <c r="AC50" i="2" s="1"/>
  <c r="AB70" i="2"/>
  <c r="AC70" i="2" s="1"/>
  <c r="AB53" i="2"/>
  <c r="AC53" i="2" s="1"/>
  <c r="AB75" i="2"/>
  <c r="AC75" i="2" s="1"/>
  <c r="AB81" i="2"/>
  <c r="AC81" i="2"/>
  <c r="AB25" i="2"/>
  <c r="AC25" i="2" s="1"/>
  <c r="AB45" i="2"/>
  <c r="AC45" i="2" s="1"/>
  <c r="AB35" i="2"/>
  <c r="AC35" i="2" s="1"/>
  <c r="AB34" i="2"/>
  <c r="AC34" i="2" s="1"/>
  <c r="AB33" i="2"/>
  <c r="AC33" i="2" s="1"/>
  <c r="AB32" i="2"/>
  <c r="AC32" i="2" s="1"/>
  <c r="AB31" i="2"/>
  <c r="AC31" i="2" s="1"/>
  <c r="AB30" i="2"/>
  <c r="AC30" i="2" s="1"/>
  <c r="AB29" i="2"/>
  <c r="AC29" i="2" s="1"/>
  <c r="AB28" i="2"/>
  <c r="AC28" i="2" s="1"/>
  <c r="AB27" i="2"/>
  <c r="AC27" i="2" s="1"/>
  <c r="AB26" i="2"/>
  <c r="AC26" i="2" s="1"/>
  <c r="AB23" i="2"/>
  <c r="AC23" i="2" s="1"/>
  <c r="AB22" i="2"/>
  <c r="AC22" i="2" s="1"/>
  <c r="AB21" i="2"/>
  <c r="AC21" i="2" s="1"/>
  <c r="AB20" i="2"/>
  <c r="AC20" i="2" s="1"/>
  <c r="AB19" i="2"/>
  <c r="AC19" i="2" s="1"/>
  <c r="AB24" i="2"/>
  <c r="AC24" i="2" s="1"/>
  <c r="AB14" i="2"/>
  <c r="AC14" i="2" s="1"/>
  <c r="AB42" i="2"/>
  <c r="AC42" i="2" s="1"/>
  <c r="AB38" i="2"/>
  <c r="AC38" i="2" s="1"/>
  <c r="AB37" i="2"/>
  <c r="AC37" i="2" s="1"/>
  <c r="AB36" i="2"/>
  <c r="AC36" i="2" s="1"/>
  <c r="AB48" i="2"/>
  <c r="AC48" i="2" s="1"/>
  <c r="AB47" i="2"/>
  <c r="AC47" i="2" s="1"/>
  <c r="AB41" i="2"/>
  <c r="AC41" i="2" s="1"/>
  <c r="AB46" i="2"/>
  <c r="AC46" i="2" s="1"/>
  <c r="AB44" i="2"/>
  <c r="AC44" i="2" s="1"/>
  <c r="AB43" i="2"/>
  <c r="AC43" i="2" s="1"/>
  <c r="AB40" i="2"/>
  <c r="AC40" i="2" s="1"/>
  <c r="AB39" i="2"/>
  <c r="AC39" i="2" s="1"/>
  <c r="AB18" i="2"/>
  <c r="AC18" i="2" s="1"/>
  <c r="AB17" i="2"/>
  <c r="AC17" i="2" s="1"/>
  <c r="AB16" i="2"/>
  <c r="AC16" i="2" s="1"/>
  <c r="AB15" i="2"/>
  <c r="AC15" i="2" s="1"/>
  <c r="AB13" i="2"/>
  <c r="AC13" i="2" s="1"/>
  <c r="AB12" i="2"/>
  <c r="AC12" i="2" s="1"/>
  <c r="AB11" i="2"/>
  <c r="AC11" i="2" s="1"/>
  <c r="AB10" i="2"/>
  <c r="AC10" i="2" s="1"/>
  <c r="AA9" i="2"/>
  <c r="AO5" i="3"/>
  <c r="AB8" i="2"/>
  <c r="AC8" i="2" s="1"/>
  <c r="AB7" i="2"/>
  <c r="AC7" i="2" s="1"/>
  <c r="AB6" i="2"/>
  <c r="AC6" i="2" s="1"/>
  <c r="AK5" i="3"/>
  <c r="AB5" i="2"/>
  <c r="AC5" i="2" s="1"/>
  <c r="U25" i="2"/>
  <c r="V25" i="2" s="1"/>
  <c r="U35" i="2"/>
  <c r="V35" i="2" s="1"/>
  <c r="U33" i="2"/>
  <c r="V33" i="2" s="1"/>
  <c r="U31" i="2"/>
  <c r="V31" i="2" s="1"/>
  <c r="U29" i="2"/>
  <c r="V29" i="2" s="1"/>
  <c r="U27" i="2"/>
  <c r="V27" i="2" s="1"/>
  <c r="U23" i="2"/>
  <c r="V23" i="2" s="1"/>
  <c r="U21" i="2"/>
  <c r="V21" i="2" s="1"/>
  <c r="U20" i="2"/>
  <c r="V20" i="2" s="1"/>
  <c r="U19" i="2"/>
  <c r="V19" i="2" s="1"/>
  <c r="U24" i="2"/>
  <c r="V24" i="2" s="1"/>
  <c r="U14" i="2"/>
  <c r="V14" i="2" s="1"/>
  <c r="U42" i="2"/>
  <c r="V42" i="2" s="1"/>
  <c r="U38" i="2"/>
  <c r="V38" i="2"/>
  <c r="U37" i="2"/>
  <c r="V37" i="2" s="1"/>
  <c r="U36" i="2"/>
  <c r="V36" i="2" s="1"/>
  <c r="U48" i="2"/>
  <c r="V48" i="2" s="1"/>
  <c r="U47" i="2"/>
  <c r="V47" i="2" s="1"/>
  <c r="U41" i="2"/>
  <c r="V41" i="2"/>
  <c r="U46" i="2"/>
  <c r="V46" i="2" s="1"/>
  <c r="U44" i="2"/>
  <c r="V44" i="2" s="1"/>
  <c r="U43" i="2"/>
  <c r="V43" i="2" s="1"/>
  <c r="U40" i="2"/>
  <c r="V40" i="2" s="1"/>
  <c r="U39" i="2"/>
  <c r="V39" i="2" s="1"/>
  <c r="U18" i="2"/>
  <c r="V18" i="2" s="1"/>
  <c r="U17" i="2"/>
  <c r="V17" i="2" s="1"/>
  <c r="U16" i="2"/>
  <c r="V16" i="2"/>
  <c r="U15" i="2"/>
  <c r="V15" i="2"/>
  <c r="U13" i="2"/>
  <c r="V13" i="2" s="1"/>
  <c r="U12" i="2"/>
  <c r="V12" i="2" s="1"/>
  <c r="U11" i="2"/>
  <c r="V11" i="2" s="1"/>
  <c r="U10" i="2"/>
  <c r="V10" i="2" s="1"/>
  <c r="T9" i="2"/>
  <c r="AG5" i="3"/>
  <c r="U45" i="2"/>
  <c r="V45" i="2" s="1"/>
  <c r="U34" i="2"/>
  <c r="V34" i="2" s="1"/>
  <c r="U32" i="2"/>
  <c r="V32" i="2" s="1"/>
  <c r="U30" i="2"/>
  <c r="V30" i="2" s="1"/>
  <c r="U28" i="2"/>
  <c r="V28" i="2" s="1"/>
  <c r="U26" i="2"/>
  <c r="V26" i="2" s="1"/>
  <c r="U22" i="2"/>
  <c r="V22" i="2" s="1"/>
  <c r="U8" i="2"/>
  <c r="V8" i="2" s="1"/>
  <c r="U7" i="2"/>
  <c r="V7" i="2" s="1"/>
  <c r="U6" i="2"/>
  <c r="V6" i="2" s="1"/>
  <c r="AC5" i="3"/>
  <c r="U5" i="2"/>
  <c r="V5" i="2" s="1"/>
  <c r="AB125" i="2"/>
  <c r="AC125" i="2" s="1"/>
  <c r="AB87" i="2"/>
  <c r="AK7" i="3"/>
  <c r="AL9" i="3"/>
  <c r="AM9" i="3" s="1"/>
  <c r="AL7" i="3" l="1"/>
  <c r="AM7" i="3" s="1"/>
  <c r="AC87" i="2"/>
  <c r="U191" i="2"/>
  <c r="AC11" i="3"/>
  <c r="U125" i="2"/>
  <c r="V125" i="2"/>
  <c r="AB191" i="2"/>
  <c r="AL11" i="3" s="1"/>
  <c r="AC191" i="2"/>
  <c r="AK11" i="3"/>
  <c r="U161" i="2"/>
  <c r="AC10" i="3"/>
  <c r="AB161" i="2"/>
  <c r="AK10" i="3"/>
  <c r="AM10" i="3" s="1"/>
  <c r="U87" i="2"/>
  <c r="AC7" i="3"/>
  <c r="AB49" i="2"/>
  <c r="AK6" i="3"/>
  <c r="AB9" i="2"/>
  <c r="U9" i="2"/>
  <c r="AD9" i="3"/>
  <c r="AE9" i="3" s="1"/>
  <c r="C8" i="4" l="1"/>
  <c r="AD11" i="3"/>
  <c r="AE11" i="3" s="1"/>
  <c r="V191" i="2"/>
  <c r="AD10" i="3"/>
  <c r="V161" i="2"/>
  <c r="AL10" i="3"/>
  <c r="AC161" i="2"/>
  <c r="AD7" i="3"/>
  <c r="V87" i="2"/>
  <c r="AL6" i="3"/>
  <c r="AC49" i="2"/>
  <c r="AM11" i="3"/>
  <c r="AE10" i="3"/>
  <c r="AM6" i="3"/>
  <c r="AE7" i="3"/>
  <c r="B8" i="4"/>
  <c r="AL5" i="3"/>
  <c r="AC9" i="2"/>
  <c r="AD5" i="3"/>
  <c r="V9" i="2"/>
  <c r="D8" i="4" l="1"/>
  <c r="AM5" i="3"/>
  <c r="C9" i="4"/>
  <c r="B9" i="4"/>
  <c r="B10" i="4" s="1"/>
  <c r="AE5" i="3"/>
  <c r="D9" i="4" l="1"/>
  <c r="C10" i="4"/>
  <c r="B11" i="4"/>
  <c r="B13" i="4"/>
  <c r="B14" i="4"/>
  <c r="D10" i="4" l="1"/>
  <c r="C13" i="4"/>
  <c r="D13" i="4" s="1"/>
  <c r="C14" i="4"/>
  <c r="D14" i="4" s="1"/>
  <c r="C11" i="4"/>
  <c r="D11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Модель</author>
  </authors>
  <commentList>
    <comment ref="A4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Табельный номер или любой уникальный код.</t>
        </r>
      </text>
    </comment>
    <comment ref="B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Категория работников: группа должностей одинаковой ценности.</t>
        </r>
      </text>
    </comment>
    <comment ref="C4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Пол: F — женщина, M — мужчина.</t>
        </r>
      </text>
    </comment>
    <comment ref="D4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Оклад, ₽, фактически выплачено за период. Не приведено к году.</t>
        </r>
      </text>
    </comment>
    <comment ref="E4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Переменная часть, ₽, фактически выплачено за период — так же, как оклад, а не годовая сумма.</t>
        </r>
      </text>
    </comment>
    <comment ref="F4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Стаж в компании, лет.</t>
        </r>
      </text>
    </comment>
    <comment ref="G4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Место в лестнице грейдов: больше число — выше грейд. Для расчёта важен только порядок, а не само значение.</t>
        </r>
      </text>
    </comment>
    <comment ref="H4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Доля ставки: 1,0 — полная, 0,5 — половина.</t>
        </r>
      </text>
    </comment>
    <comment ref="I4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Отработано месяцев за период. 12 — полный год.</t>
        </r>
      </text>
    </comment>
    <comment ref="J4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factor = fte x (months_worked / 12). Приводит фактическую оплату к полной ставке и полному году.</t>
        </r>
      </text>
    </comment>
    <comment ref="K4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Оклад, ₽ в год на полную ставку: base_salary / factor.</t>
        </r>
      </text>
    </comment>
    <comment ref="L4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Переменная часть, ₽ в год на полную ставку: variable_pay / factor.</t>
        </r>
      </text>
    </comment>
    <comment ref="M4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Вся оплата, ₽ в год на полную ставку: n_base + n_var. По этой цифре сравниваются сотрудники.</t>
        </r>
      </text>
    </comment>
    <comment ref="N4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Фактически выплачено, ₽: base_salary + variable_pay. ФОТ — сумма этого столбца.</t>
        </r>
      </text>
    </comment>
    <comment ref="O4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Медиана n_total по всей категории, оба пола. ₽ в год на полную ставку.</t>
        </r>
      </text>
    </comment>
    <comment ref="P4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Минимальный сценарий: 1 — сотрудница получает прибавку.</t>
        </r>
      </text>
    </comment>
    <comment ref="Q4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Минимальный сценарий: отставание от медианы категории, ₽ в год на полную ставку.</t>
        </r>
      </text>
    </comment>
    <comment ref="R4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Минимальный сценарий: доля сотрудницы в бюджете категории.</t>
        </r>
      </text>
    </comment>
    <comment ref="S4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Минимальный сценарий: прибавка, ₽ в год на полную ставку.</t>
        </r>
      </text>
    </comment>
    <comment ref="T4" authorId="0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Минимальный сценарий: прибавка, ₽ с учётом ставки и отработанных месяцев.</t>
        </r>
      </text>
    </comment>
    <comment ref="U4" authorId="0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Минимальный сценарий: страховые взносы с прибавки, ₽.</t>
        </r>
      </text>
    </comment>
    <comment ref="V4" authorId="0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Минимальный сценарий: прибавка + взносы, ₽.</t>
        </r>
      </text>
    </comment>
    <comment ref="W4" authorId="0" shapeId="0" xr:uid="{00000000-0006-0000-0100-000017000000}">
      <text>
        <r>
          <rPr>
            <sz val="11"/>
            <color theme="1"/>
            <rFont val="Calibri"/>
            <family val="2"/>
            <scheme val="minor"/>
          </rPr>
          <t>Полное выравнивание: 1 — сотрудница получает прибавку.</t>
        </r>
      </text>
    </comment>
    <comment ref="X4" authorId="0" shapeId="0" xr:uid="{00000000-0006-0000-0100-000018000000}">
      <text>
        <r>
          <rPr>
            <sz val="11"/>
            <color theme="1"/>
            <rFont val="Calibri"/>
            <family val="2"/>
            <scheme val="minor"/>
          </rPr>
          <t>Полное выравнивание: отставание от медианы категории, ₽.</t>
        </r>
      </text>
    </comment>
    <comment ref="Y4" authorId="0" shapeId="0" xr:uid="{00000000-0006-0000-0100-000019000000}">
      <text>
        <r>
          <rPr>
            <sz val="11"/>
            <color theme="1"/>
            <rFont val="Calibri"/>
            <family val="2"/>
            <scheme val="minor"/>
          </rPr>
          <t>Полное выравнивание: доля сотрудницы в бюджете категории.</t>
        </r>
      </text>
    </comment>
    <comment ref="Z4" authorId="0" shapeId="0" xr:uid="{00000000-0006-0000-0100-00001A000000}">
      <text>
        <r>
          <rPr>
            <sz val="11"/>
            <color theme="1"/>
            <rFont val="Calibri"/>
            <family val="2"/>
            <scheme val="minor"/>
          </rPr>
          <t>Полное выравнивание: прибавка, ₽ в год на полную ставку.</t>
        </r>
      </text>
    </comment>
    <comment ref="AA4" authorId="0" shapeId="0" xr:uid="{00000000-0006-0000-0100-00001B000000}">
      <text>
        <r>
          <rPr>
            <sz val="11"/>
            <color theme="1"/>
            <rFont val="Calibri"/>
            <family val="2"/>
            <scheme val="minor"/>
          </rPr>
          <t>Полное выравнивание: прибавка, ₽ с учётом ставки и отработанных месяцев.</t>
        </r>
      </text>
    </comment>
    <comment ref="AB4" authorId="0" shapeId="0" xr:uid="{00000000-0006-0000-0100-00001C000000}">
      <text>
        <r>
          <rPr>
            <sz val="11"/>
            <color theme="1"/>
            <rFont val="Calibri"/>
            <family val="2"/>
            <scheme val="minor"/>
          </rPr>
          <t>Полное выравнивание: страховые взносы с прибавки, ₽.</t>
        </r>
      </text>
    </comment>
    <comment ref="AC4" authorId="0" shapeId="0" xr:uid="{00000000-0006-0000-0100-00001D000000}">
      <text>
        <r>
          <rPr>
            <sz val="11"/>
            <color theme="1"/>
            <rFont val="Calibri"/>
            <family val="2"/>
            <scheme val="minor"/>
          </rPr>
          <t>Полное выравнивание: прибавка + взносы, ₽.</t>
        </r>
      </text>
    </comment>
    <comment ref="AD4" authorId="0" shapeId="0" xr:uid="{00000000-0006-0000-0100-00001E000000}">
      <text>
        <r>
          <rPr>
            <sz val="11"/>
            <color theme="1"/>
            <rFont val="Calibri"/>
            <family val="2"/>
            <scheme val="minor"/>
          </rPr>
          <t>Служебный: ранг внутри категории по n_total — для медианы без формул массива.</t>
        </r>
      </text>
    </comment>
    <comment ref="AE4" authorId="0" shapeId="0" xr:uid="{00000000-0006-0000-0100-00001F000000}">
      <text>
        <r>
          <rPr>
            <sz val="11"/>
            <color theme="1"/>
            <rFont val="Calibri"/>
            <family val="2"/>
            <scheme val="minor"/>
          </rPr>
          <t>Служебный: численность категории.</t>
        </r>
      </text>
    </comment>
    <comment ref="AF4" authorId="0" shapeId="0" xr:uid="{00000000-0006-0000-0100-000020000000}">
      <text>
        <r>
          <rPr>
            <sz val="11"/>
            <color theme="1"/>
            <rFont val="Calibri"/>
            <family val="2"/>
            <scheme val="minor"/>
          </rPr>
          <t>Служебный: ранг внутри пары «категория + пол».</t>
        </r>
      </text>
    </comment>
    <comment ref="AG4" authorId="0" shapeId="0" xr:uid="{00000000-0006-0000-0100-000021000000}">
      <text>
        <r>
          <rPr>
            <sz val="11"/>
            <color theme="1"/>
            <rFont val="Calibri"/>
            <family val="2"/>
            <scheme val="minor"/>
          </rPr>
          <t>Служебный: численность пары «категория + пол».</t>
        </r>
      </text>
    </comment>
  </commentList>
</comments>
</file>

<file path=xl/sharedStrings.xml><?xml version="1.0" encoding="utf-8"?>
<sst xmlns="http://schemas.openxmlformats.org/spreadsheetml/2006/main" count="825" uniqueCount="393">
  <si>
    <t>Настройки модели</t>
  </si>
  <si>
    <t>Демо-данные, 212 сотрудников (смоделированы)</t>
  </si>
  <si>
    <t>Менять можно только зелёные ячейки. Всё остальное пересчитывается само.</t>
  </si>
  <si>
    <t>Имя</t>
  </si>
  <si>
    <t>Значение</t>
  </si>
  <si>
    <t>Что это</t>
  </si>
  <si>
    <t>Пояснение</t>
  </si>
  <si>
    <t>threshold_pct</t>
  </si>
  <si>
    <t>Допустимый остаток, %</t>
  </si>
  <si>
    <t>Целевой необъяснённый разрыв для минимального сценария. Внутренний ориентир компании: закон РФ такого порога не задаёт (ст. 22 ТК РФ требует равной оплаты за труд равной ценности, ст. 132 запрещает дискриминацию в оплате).</t>
  </si>
  <si>
    <t>implementation_month</t>
  </si>
  <si>
    <t>Месяц выравнивания</t>
  </si>
  <si>
    <t>1 = январь. Определяет затраты в текущем году: (13 - m) / 12.</t>
  </si>
  <si>
    <t>rate_below</t>
  </si>
  <si>
    <t>Тариф взносов до предельной базы, %</t>
  </si>
  <si>
    <t>РФ, п. 3 ст. 425 НК РФ: единый тариф страховых взносов 30%. Применяется к части прибавки, которая укладывается в предельную базу. Взносы на травматизм (0,2–8,5%) не включены — добавьте свой тариф к обеим ставкам. У МСП с правом на льготу и IT-компаний тарифы ниже.</t>
  </si>
  <si>
    <t>rate_above</t>
  </si>
  <si>
    <t>Тариф взносов сверх предельной базы, %</t>
  </si>
  <si>
    <t>РФ, п. 3 ст. 425 НК РФ: 15,1%. Применяется к части прибавки, которая выводит оклад за предельную базу.</t>
  </si>
  <si>
    <t>ceiling</t>
  </si>
  <si>
    <t>Единая предельная база, ₽</t>
  </si>
  <si>
    <t>РФ 2026: 2 979 000 ₽ в год (Постановление Правительства РФ от 31.10.2025 № 1705). Сравнивается с фактическим окладом сотрудника.</t>
  </si>
  <si>
    <t>Исходные данные</t>
  </si>
  <si>
    <t>На листе «Данные» — зафиксированная выгрузка. Генератор демо-данных использует генератор псевдослучайных чисел (mulberry32 + Box-Muller), который нельзя побайтно повторить формулами Excel, поэтому массив выгружен числами. Всё, что посчитано поверх него, — живые формулы.</t>
  </si>
  <si>
    <t>Данные и расчёт по сотрудникам</t>
  </si>
  <si>
    <t>Жёлтое — исходные данные из CSV. Голубое — считается формулой. Формулы ссылаются на лист «Категории», где считаются разрывы по категориям.</t>
  </si>
  <si>
    <t>id</t>
  </si>
  <si>
    <t>category</t>
  </si>
  <si>
    <t>gender</t>
  </si>
  <si>
    <t>base_salary</t>
  </si>
  <si>
    <t>variable_pay</t>
  </si>
  <si>
    <t>tenure_years</t>
  </si>
  <si>
    <t>grade</t>
  </si>
  <si>
    <t>fte</t>
  </si>
  <si>
    <t>months_worked</t>
  </si>
  <si>
    <t>factor</t>
  </si>
  <si>
    <t>n_base</t>
  </si>
  <si>
    <t>n_var</t>
  </si>
  <si>
    <t>n_total</t>
  </si>
  <si>
    <t>actual_total</t>
  </si>
  <si>
    <t>median_cat</t>
  </si>
  <si>
    <t>recip_min</t>
  </si>
  <si>
    <t>deficit_min</t>
  </si>
  <si>
    <t>share_min</t>
  </si>
  <si>
    <t>uplift_norm_min</t>
  </si>
  <si>
    <t>uplift_act_min</t>
  </si>
  <si>
    <t>contrib_min</t>
  </si>
  <si>
    <t>cost_min</t>
  </si>
  <si>
    <t>recip_full</t>
  </si>
  <si>
    <t>deficit_full</t>
  </si>
  <si>
    <t>share_full</t>
  </si>
  <si>
    <t>uplift_norm_full</t>
  </si>
  <si>
    <t>uplift_act_full</t>
  </si>
  <si>
    <t>contrib_full</t>
  </si>
  <si>
    <t>cost_full</t>
  </si>
  <si>
    <t>_rank_cat</t>
  </si>
  <si>
    <t>_n_cat</t>
  </si>
  <si>
    <t>_rank_sex</t>
  </si>
  <si>
    <t>_n_sex</t>
  </si>
  <si>
    <t>E001</t>
  </si>
  <si>
    <t>Разработка</t>
  </si>
  <si>
    <t>M</t>
  </si>
  <si>
    <t>E002</t>
  </si>
  <si>
    <t>E003</t>
  </si>
  <si>
    <t>E004</t>
  </si>
  <si>
    <t>E005</t>
  </si>
  <si>
    <t>F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</si>
  <si>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</si>
  <si>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</si>
  <si>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</si>
  <si>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</si>
  <si>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</si>
  <si>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</si>
  <si>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</si>
  <si>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</si>
  <si>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</si>
  <si>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</si>
  <si>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</si>
  <si>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</si>
  <si>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</si>
  <si>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</si>
  <si>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</si>
  <si>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</si>
  <si>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</si>
  <si>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</si>
  <si>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</si>
  <si>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</si>
  <si>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</si>
  <si>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</si>
  <si>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</si>
  <si>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</si>
  <si>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</si>
  <si>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</si>
  <si>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</si>
  <si>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</si>
  <si>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</si>
  <si>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</si>
  <si>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</si>
  <si>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</si>
  <si>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</si>
  <si>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</si>
  <si>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</si>
  <si>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</si>
  <si>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</si>
  <si>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</si>
  <si>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</si>
  <si>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</si>
  <si>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Операции</t>
  </si>
  <si>
    <t>E046</t>
  </si>
  <si>
    <t>E047</t>
  </si>
  <si>
    <t>E048</t>
  </si>
  <si>
    <t>E049</t>
  </si>
  <si>
    <t>E050</t>
  </si>
  <si>
    <t>E051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</si>
  <si>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</si>
  <si>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</si>
  <si>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</si>
  <si>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</si>
  <si>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</si>
  <si>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</si>
  <si>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</si>
  <si>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</si>
  <si>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</si>
  <si>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E061</t>
  </si>
  <si>
    <t>E062</t>
  </si>
  <si>
    <t>E063</t>
  </si>
  <si>
    <t>E064</t>
  </si>
  <si>
    <t>E065</t>
  </si>
  <si>
    <t>E066</t>
  </si>
  <si>
    <t>E067</t>
  </si>
  <si>
    <t>E068</t>
  </si>
  <si>
    <t>E069</t>
  </si>
  <si>
    <t>E070</t>
  </si>
  <si>
    <t>E071</t>
  </si>
  <si>
    <t>E072</t>
  </si>
  <si>
    <t>E073</t>
  </si>
  <si>
    <t>E074</t>
  </si>
  <si>
    <t>E075</t>
  </si>
  <si>
    <t>E076</t>
  </si>
  <si>
    <t>E077</t>
  </si>
  <si>
    <t>E078</t>
  </si>
  <si>
    <t>E079</t>
  </si>
  <si>
    <t>E080</t>
  </si>
  <si>
    <t>E081</t>
  </si>
  <si>
    <t>E082</t>
  </si>
  <si>
    <t>E083</t>
  </si>
  <si>
    <t>Юристы</t>
  </si>
  <si>
    <t>E084</t>
  </si>
  <si>
    <t>E085</t>
  </si>
  <si>
    <t>E086</t>
  </si>
  <si>
    <t>E087</t>
  </si>
  <si>
    <t>E088</t>
  </si>
  <si>
    <t>E089</t>
  </si>
  <si>
    <t>E090</t>
  </si>
  <si>
    <t>E091</t>
  </si>
  <si>
    <t>Маркетинг</t>
  </si>
  <si>
    <t>E092</t>
  </si>
  <si>
    <t>E093</t>
  </si>
  <si>
    <t>E094</t>
  </si>
  <si>
    <t>E095</t>
  </si>
  <si>
    <t>E096</t>
  </si>
  <si>
    <t>E097</t>
  </si>
  <si>
    <t>E098</t>
  </si>
  <si>
    <t>E099</t>
  </si>
  <si>
    <t>E100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</si>
  <si>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</si>
  <si>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</si>
  <si>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</si>
  <si>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</si>
  <si>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</si>
  <si>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</si>
  <si>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</si>
  <si>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</si>
  <si>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</si>
  <si>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</si>
  <si>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</si>
  <si>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</si>
  <si>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</si>
  <si>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</si>
  <si>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</si>
  <si>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</si>
  <si>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</si>
  <si>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Производство</t>
  </si>
  <si>
    <t>E118</t>
  </si>
  <si>
    <t>E119</t>
  </si>
  <si>
    <t>E120</t>
  </si>
  <si>
    <t>E121</t>
  </si>
  <si>
    <t>E122</t>
  </si>
  <si>
    <t>E123</t>
  </si>
  <si>
    <t>E124</t>
  </si>
  <si>
    <t>E125</t>
  </si>
  <si>
    <t>E126</t>
  </si>
  <si>
    <t>E127</t>
  </si>
  <si>
    <t>E128</t>
  </si>
  <si>
    <t>E129</t>
  </si>
  <si>
    <t>E130</t>
  </si>
  <si>
    <t>E131</t>
  </si>
  <si>
    <t>E132</t>
  </si>
  <si>
    <t>E133</t>
  </si>
  <si>
    <t>E134</t>
  </si>
  <si>
    <t>E135</t>
  </si>
  <si>
    <t>E136</t>
  </si>
  <si>
    <t>E137</t>
  </si>
  <si>
    <t>E138</t>
  </si>
  <si>
    <t>E139</t>
  </si>
  <si>
    <t>E140</t>
  </si>
  <si>
    <t>E141</t>
  </si>
  <si>
    <t>E142</t>
  </si>
  <si>
    <t>E143</t>
  </si>
  <si>
    <t>E144</t>
  </si>
  <si>
    <t>E145</t>
  </si>
  <si>
    <t>E146</t>
  </si>
  <si>
    <t>E147</t>
  </si>
  <si>
    <t>E148</t>
  </si>
  <si>
    <t>E149</t>
  </si>
  <si>
    <t>E150</t>
  </si>
  <si>
    <t>E151</t>
  </si>
  <si>
    <t>E152</t>
  </si>
  <si>
    <t>E153</t>
  </si>
  <si>
    <t>E154</t>
  </si>
  <si>
    <t>E155</t>
  </si>
  <si>
    <t>E156</t>
  </si>
  <si>
    <t>E157</t>
  </si>
  <si>
    <t>Поддержка клиентов</t>
  </si>
  <si>
    <t>E158</t>
  </si>
  <si>
    <t>E159</t>
  </si>
  <si>
    <t>E160</t>
  </si>
  <si>
    <t>E161</t>
  </si>
  <si>
    <t>E162</t>
  </si>
  <si>
    <t>E163</t>
  </si>
  <si>
    <t>E164</t>
  </si>
  <si>
    <t>E165</t>
  </si>
  <si>
    <t>E166</t>
  </si>
  <si>
    <t>E167</t>
  </si>
  <si>
    <t>E168</t>
  </si>
  <si>
    <t>E169</t>
  </si>
  <si>
    <t>E170</t>
  </si>
  <si>
    <t>E171</t>
  </si>
  <si>
    <t>E172</t>
  </si>
  <si>
    <t>E173</t>
  </si>
  <si>
    <t>E174</t>
  </si>
  <si>
    <t>E175</t>
  </si>
  <si>
    <t>E176</t>
  </si>
  <si>
    <t>E177</t>
  </si>
  <si>
    <t>E178</t>
  </si>
  <si>
    <t>E179</t>
  </si>
  <si>
    <t>E180</t>
  </si>
  <si>
    <t>E181</t>
  </si>
  <si>
    <t>E182</t>
  </si>
  <si>
    <t>E183</t>
  </si>
  <si>
    <t>E184</t>
  </si>
  <si>
    <t>E185</t>
  </si>
  <si>
    <t>E186</t>
  </si>
  <si>
    <t>E187</t>
  </si>
  <si>
    <t>Продажи</t>
  </si>
  <si>
    <t>E188</t>
  </si>
  <si>
    <t>E189</t>
  </si>
  <si>
    <t>E190</t>
  </si>
  <si>
    <t>E191</t>
  </si>
  <si>
    <t>E192</t>
  </si>
  <si>
    <t>E193</t>
  </si>
  <si>
    <t>E194</t>
  </si>
  <si>
    <t>E195</t>
  </si>
  <si>
    <t>E196</t>
  </si>
  <si>
    <t>E197</t>
  </si>
  <si>
    <t>E198</t>
  </si>
  <si>
    <t>E199</t>
  </si>
  <si>
    <t>E200</t>
  </si>
  <si>
    <t>E201</t>
  </si>
  <si>
    <t>E202</t>
  </si>
  <si>
    <t>E203</t>
  </si>
  <si>
    <t>E204</t>
  </si>
  <si>
    <t>E205</t>
  </si>
  <si>
    <t>E206</t>
  </si>
  <si>
    <t>E207</t>
  </si>
  <si>
    <t>E208</t>
  </si>
  <si>
    <t>E209</t>
  </si>
  <si>
    <t>E210</t>
  </si>
  <si>
    <t>E211</t>
  </si>
  <si>
    <t>E212</t>
  </si>
  <si>
    <t>Расчёт по категориям</t>
  </si>
  <si>
    <t>Регрессия: МНК n_total на грейд и стаж внутри каждой категории, решена через явные суммы (без ЛИНЕЙН и формул массива). Условия те же, что в калькуляторе: меньше 4 наблюдений или постоянный грейд либо стаж — регрессия не строится, весь разрыв считается необъяснённым.</t>
  </si>
  <si>
    <t>headcount</t>
  </si>
  <si>
    <t>n_F</t>
  </si>
  <si>
    <t>n_M</t>
  </si>
  <si>
    <t>mean_M</t>
  </si>
  <si>
    <t>mean_F</t>
  </si>
  <si>
    <t>median_all</t>
  </si>
  <si>
    <t>raw_gap_mean_%</t>
  </si>
  <si>
    <t>median_M</t>
  </si>
  <si>
    <t>median_F</t>
  </si>
  <si>
    <t>raw_gap_median_%</t>
  </si>
  <si>
    <t>var_M</t>
  </si>
  <si>
    <t>var_F</t>
  </si>
  <si>
    <t>variable_gap_%</t>
  </si>
  <si>
    <t>base_M</t>
  </si>
  <si>
    <t>base_F</t>
  </si>
  <si>
    <t>base_gap_%</t>
  </si>
  <si>
    <t>var_grade</t>
  </si>
  <si>
    <t>var_tenure</t>
  </si>
  <si>
    <t>reg_ok</t>
  </si>
  <si>
    <t>coef_grade</t>
  </si>
  <si>
    <t>coef_tenure</t>
  </si>
  <si>
    <t>r2</t>
  </si>
  <si>
    <t>explained_%</t>
  </si>
  <si>
    <t>unexplained_%</t>
  </si>
  <si>
    <t>correct_min</t>
  </si>
  <si>
    <t>totalDef_min</t>
  </si>
  <si>
    <t>need_min</t>
  </si>
  <si>
    <t>adjust_min</t>
  </si>
  <si>
    <t>unexpl_after_min</t>
  </si>
  <si>
    <t>correct_full</t>
  </si>
  <si>
    <t>totalDef_full</t>
  </si>
  <si>
    <t>need_full</t>
  </si>
  <si>
    <t>adjust_full</t>
  </si>
  <si>
    <t>unexpl_after_full</t>
  </si>
  <si>
    <t>unreliable</t>
  </si>
  <si>
    <t>reverse_gap</t>
  </si>
  <si>
    <t>n</t>
  </si>
  <si>
    <t>Sum_g</t>
  </si>
  <si>
    <t>Sum_t</t>
  </si>
  <si>
    <t>Sum_y</t>
  </si>
  <si>
    <t>Sum_gg</t>
  </si>
  <si>
    <t>Sum_tt</t>
  </si>
  <si>
    <t>Sum_gt</t>
  </si>
  <si>
    <t>Sum_gy</t>
  </si>
  <si>
    <t>Sum_ty</t>
  </si>
  <si>
    <t>Sum_yy</t>
  </si>
  <si>
    <t>det</t>
  </si>
  <si>
    <t>Итоги</t>
  </si>
  <si>
    <t>Каждая цифра здесь — формула со ссылкой на листы «Данные» и «Категории». Ни одно число на этом листе не введено вручную.</t>
  </si>
  <si>
    <t>ФОТ до выравнивания (оклад и переменная часть, без взносов)</t>
  </si>
  <si>
    <t>Численность</t>
  </si>
  <si>
    <t>Показатель</t>
  </si>
  <si>
    <t>Минимальный сценарий</t>
  </si>
  <si>
    <t>Полное выравнивание</t>
  </si>
  <si>
    <t>Разница</t>
  </si>
  <si>
    <t>Прибавка к окладам</t>
  </si>
  <si>
    <t>Страховые взносы</t>
  </si>
  <si>
    <t>Всего затрат</t>
  </si>
  <si>
    <t>Затраты к ФОТ, %</t>
  </si>
  <si>
    <t>Получают прибавку, чел.</t>
  </si>
  <si>
    <t>Затраты в этом году</t>
  </si>
  <si>
    <t>Затраты в следующем году, полный год</t>
  </si>
  <si>
    <t>Сверка с калькулятором</t>
  </si>
  <si>
    <t>Итоги калькулятора на демо-данных совпадают с B10 / C10 до копейки. Если загрузить в калькулятор свой CSV и вставить те же строки на лист «Данные», итоги тоже должны совпасть.</t>
  </si>
  <si>
    <t>Пояснения и методика</t>
  </si>
  <si>
    <t>Цвета</t>
  </si>
  <si>
    <t>Жёлтый</t>
  </si>
  <si>
    <t>Исходные данные. Берутся из CSV, не считаются.</t>
  </si>
  <si>
    <t>Голубой</t>
  </si>
  <si>
    <t>Считается формулой. Править нечего — пересчитывается само.</t>
  </si>
  <si>
    <t>Зелёный</t>
  </si>
  <si>
    <t>Настройка на листе «Настройки». Эти ячейки можно менять.</t>
  </si>
  <si>
    <t>Единицы</t>
  </si>
  <si>
    <t>Где смотреть</t>
  </si>
  <si>
    <t>Единицы каждого столбца — в примечании к его заголовку на листе «Данные» (красный уголок — наведите курсор). Коротко то же самое — ниже.</t>
  </si>
  <si>
    <t>base_salary, variable_pay</t>
  </si>
  <si>
    <t>Рубли, фактически выплаченные за период, без приведения к году. У сотрудника на 0,5 ставки или отработавшего 7 месяцев стоит то, что он действительно получил. Переменная часть записана так же, как оклад.</t>
  </si>
  <si>
    <t>n_base, n_var, n_total</t>
  </si>
  <si>
    <t>Рубли в год на полную ставку: фактическая оплата, делённая на factor. Сравнивать сотрудников можно только по этим цифрам, иначе половина разрыва окажется разницей в отработанном времени, а не в оплате.</t>
  </si>
  <si>
    <t>Место в лестнице грейдов: больше число — выше грейд. Для расчёта важен только порядок, само значение смысла не несёт.</t>
  </si>
  <si>
    <t>Порядок расчёта</t>
  </si>
  <si>
    <t>1. Приведение</t>
  </si>
  <si>
    <t>factor = fte x (months_worked / 12). Оклад и переменная часть делятся на factor и приводятся к полной ставке и полному году. Сравнимы между сотрудниками только приведённые цифры.</t>
  </si>
  <si>
    <t>2. Разрывы</t>
  </si>
  <si>
    <t>raw_gap = (mean_M - mean_F) / mean_M x 100 — по n_total (приведённые оклад и переменная часть), отдельно в каждой категории.</t>
  </si>
  <si>
    <t>3. Регрессия</t>
  </si>
  <si>
    <t>МНК n_total на грейд и стаж внутри каждой категории, решена через явные суммы методом Крамера. Отвечает на один вопрос: какую часть разрыва объясняют грейд и стаж. Условие то же, что в калькуляторе: меньше 4 наблюдений или постоянный грейд либо стаж — регрессия не строится, explained = 0, весь разрыв считается необъяснённым (осторожная сторона).</t>
  </si>
  <si>
    <t>4. Объяснённая доля</t>
  </si>
  <si>
    <t>explained = coef_grade x (средний грейд мужчин - средний грейд женщин) + coef_tenure x (средний стаж мужчин - средний стаж женщин), в % от mean_M. Не больше самого разрыва: модель не может объяснить больше, чем есть.</t>
  </si>
  <si>
    <t>5. Кто получает прибавку</t>
  </si>
  <si>
    <t>Женщины, у которых приведённый n_total ниже медианы своей категории (медиана по всей категории, оба пола). Категории, где разрыв в пользу женщин, не выравниваются ни в одном сценарии — выравнивание только поднимает оплату.</t>
  </si>
  <si>
    <t>6. Распределение</t>
  </si>
  <si>
    <t>Пропорционально отставанию от медианы: доля = (медиана - n_total) / сумма всех отставаний. Чем ниже середины сотрудница, тем большую часть бюджета она получает.</t>
  </si>
  <si>
    <t>Две разные величины</t>
  </si>
  <si>
    <t>Средний разрыв категории и отставание сотрудницы решают разные задачи. Средний разрыв определяет, СКОЛЬКО ДЕНЕГ нужно категории (шаг 5, формула потребности). Отставание от медианы определяет, КАК ЭТИ ДЕНЬГИ ДЕЛЯТСЯ между людьми (шаг 6). В индивидуальную прибавку средний разрыв не входит: отставание меряется от медианы категории, а не от средней оплаты мужчин.</t>
  </si>
  <si>
    <t>Следствие</t>
  </si>
  <si>
    <t>Сотрудница с оплатой выше медианы ничего не получает, даже если разрыв в её категории большой. Метод поднимает нижнюю половину, а не всех женщин подряд.</t>
  </si>
  <si>
    <t>7. Страховые взносы</t>
  </si>
  <si>
    <t>Начисляются на прибавку к окладу, а не на всю зарплату, и всегда по фактическому окладу. Часть прибавки, которая укладывается в единую предельную базу, облагается по полному тарифу (РФ 2026: 30%), часть сверх неё — по пониженному (15,1%). Взносы на травматизм не включены: добавьте свой тариф к обеим ставкам на листе «Настройки».</t>
  </si>
  <si>
    <t>8. Итоги</t>
  </si>
  <si>
    <t>Затраты в этом году = полная сумма x (13 - месяц выравнивания) / 12. Январь даёт 12/12, декабрь — 1/12.</t>
  </si>
  <si>
    <t>Два сценария</t>
  </si>
  <si>
    <t>Довести необъяснённый разрыв до допустимого остатка (по умолчанию 5%). Категории, где разрыв уже ниже, не трогаются. Допустимый остаток — внутренний ориентир компании: закон РФ такого порога не задаёт.</t>
  </si>
  <si>
    <t>Довести необъяснённый разрыв до нуля в каждой категории, где он положительный.</t>
  </si>
  <si>
    <t>Оговорки</t>
  </si>
  <si>
    <t>Что значит «объяснённый»</t>
  </si>
  <si>
    <t>Слово техническое, а не оправдательное. Если женщин системно не продвигают по грейдам, регрессия спишет разрыв на грейд и назовёт его объяснённым. Это ограничение метода, а не вывод о справедливости.</t>
  </si>
  <si>
    <t>Без формул массива</t>
  </si>
  <si>
    <t>Вся модель — на обычных формулах: СУММЕСЛИМН, СУММПРОИЗВ, СЧЁТЕСЛИМН. Ctrl+Shift+Enter не нужен ни в одной версии Excel. Медианы считаются через ранг (служебные столбцы _rank_cat / _rank_sex на листе «Данные»), регрессия — через явные суммы, а не ЛИНЕЙН.</t>
  </si>
  <si>
    <t>Генератор данных</t>
  </si>
  <si>
    <t>Демо-данные созданы генератором mulberry32 + Box-Muller с фиксированным зерном. Формулами Excel его побайтно не повторить, поэтому массив выгружен числами. Всё, что посчитано поверх него, — живые формулы. Данные смоделированы, реальных сотрудников за ними нет.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</si>
</sst>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&quot; ₽&quot;"/>
    <numFmt numFmtId="165" formatCode="#,##0.0000"/>
    <numFmt numFmtId="166" formatCode="0.00&quot;%&quot;"/>
  </numFmts>
  <fonts count="6" x14ac:knownFonts="1">
    <font>
      <sz val="11"/>
      <color theme="1"/>
      <name val="Calibri"/>
      <family val="2"/>
      <scheme val="minor"/>
    </font>
    <font>
      <b/>
      <sz val="13"/>
      <name val="Calibri"/>
    </font>
    <font>
      <sz val="9"/>
      <color rgb="FF6B7280"/>
      <name val="Calibri"/>
    </font>
    <font>
      <b/>
      <sz val="10"/>
      <color rgb="FFFFFFFF"/>
      <name val="Calibri"/>
    </font>
    <font>
      <b/>
      <sz val="11"/>
      <name val="Calibri"/>
    </font>
    <font>
      <b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3B57"/>
      </patternFill>
    </fill>
    <fill>
      <patternFill patternType="solid">
        <fgColor rgb="FFE6F4EA"/>
      </patternFill>
    </fill>
    <fill>
      <patternFill patternType="solid">
        <fgColor rgb="FFFFF4D6"/>
      </patternFill>
    </fill>
    <fill>
      <patternFill patternType="solid">
        <fgColor rgb="FFEAF3FA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4" fillId="3" borderId="1" xfId="0" applyFont="1" applyFill="1" applyBorder="1"/>
    <xf numFmtId="0" fontId="0" fillId="0" borderId="1" xfId="0" applyBorder="1" applyAlignment="1">
      <alignment vertical="top" wrapText="1"/>
    </xf>
    <xf numFmtId="0" fontId="4" fillId="0" borderId="0" xfId="0" applyFont="1"/>
    <xf numFmtId="0" fontId="0" fillId="4" borderId="1" xfId="0" applyFill="1" applyBorder="1"/>
    <xf numFmtId="164" fontId="0" fillId="4" borderId="1" xfId="0" applyNumberFormat="1" applyFill="1" applyBorder="1"/>
    <xf numFmtId="165" fontId="0" fillId="5" borderId="1" xfId="0" applyNumberFormat="1" applyFill="1" applyBorder="1"/>
    <xf numFmtId="164" fontId="0" fillId="5" borderId="1" xfId="0" applyNumberFormat="1" applyFill="1" applyBorder="1"/>
    <xf numFmtId="0" fontId="0" fillId="5" borderId="1" xfId="0" applyFill="1" applyBorder="1"/>
    <xf numFmtId="166" fontId="0" fillId="5" borderId="1" xfId="0" applyNumberFormat="1" applyFill="1" applyBorder="1"/>
    <xf numFmtId="164" fontId="0" fillId="5" borderId="0" xfId="0" applyNumberFormat="1" applyFill="1"/>
    <xf numFmtId="0" fontId="0" fillId="5" borderId="0" xfId="0" applyFill="1"/>
    <xf numFmtId="0" fontId="4" fillId="0" borderId="1" xfId="0" applyFont="1" applyBorder="1"/>
    <xf numFmtId="164" fontId="4" fillId="5" borderId="1" xfId="0" applyNumberFormat="1" applyFont="1" applyFill="1" applyBorder="1"/>
    <xf numFmtId="3" fontId="0" fillId="5" borderId="1" xfId="0" applyNumberFormat="1" applyFill="1" applyBorder="1"/>
    <xf numFmtId="0" fontId="5" fillId="0" borderId="0" xfId="0" applyFont="1"/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/>
  </sheetViews>
  <sheetFormatPr defaultRowHeight="14.4" x14ac:dyDescent="0.3"/>
  <cols>
    <col min="1" max="1" width="24" customWidth="1"/>
    <col min="2" max="2" width="14" customWidth="1"/>
    <col min="3" max="3" width="34" customWidth="1"/>
    <col min="4" max="4" width="76" customWidth="1"/>
  </cols>
  <sheetData>
    <row r="1" spans="1:4" ht="17.399999999999999" x14ac:dyDescent="0.35">
      <c r="A1" s="1" t="s">
        <v>0</v>
      </c>
    </row>
    <row r="2" spans="1:4" x14ac:dyDescent="0.3">
      <c r="A2" s="2" t="s">
        <v>1</v>
      </c>
    </row>
    <row r="4" spans="1:4" x14ac:dyDescent="0.3">
      <c r="A4" s="2" t="s">
        <v>2</v>
      </c>
    </row>
    <row r="6" spans="1:4" ht="30" customHeight="1" x14ac:dyDescent="0.3">
      <c r="A6" s="3" t="s">
        <v>3</v>
      </c>
      <c r="B6" s="3" t="s">
        <v>4</v>
      </c>
      <c r="C6" s="3" t="s">
        <v>5</v>
      </c>
      <c r="D6" s="3" t="s">
        <v>6</v>
      </c>
    </row>
    <row r="7" spans="1:4" ht="42" customHeight="1" x14ac:dyDescent="0.3">
      <c r="A7" s="4" t="s">
        <v>7</v>
      </c>
      <c r="B7" s="5">
        <v>5</v>
      </c>
      <c r="C7" s="4" t="s">
        <v>8</v>
      </c>
      <c r="D7" s="6" t="s">
        <v>9</v>
      </c>
    </row>
    <row r="8" spans="1:4" ht="42" customHeight="1" x14ac:dyDescent="0.3">
      <c r="A8" s="4" t="s">
        <v>10</v>
      </c>
      <c r="B8" s="5">
        <v>7</v>
      </c>
      <c r="C8" s="4" t="s">
        <v>11</v>
      </c>
      <c r="D8" s="6" t="s">
        <v>12</v>
      </c>
    </row>
    <row r="9" spans="1:4" ht="42" customHeight="1" x14ac:dyDescent="0.3">
      <c r="A9" s="4" t="s">
        <v>13</v>
      </c>
      <c r="B9" s="5">
        <v>30</v>
      </c>
      <c r="C9" s="4" t="s">
        <v>14</v>
      </c>
      <c r="D9" s="6" t="s">
        <v>15</v>
      </c>
    </row>
    <row r="10" spans="1:4" ht="42" customHeight="1" x14ac:dyDescent="0.3">
      <c r="A10" s="4" t="s">
        <v>16</v>
      </c>
      <c r="B10" s="5">
        <v>15.1</v>
      </c>
      <c r="C10" s="4" t="s">
        <v>17</v>
      </c>
      <c r="D10" s="6" t="s">
        <v>18</v>
      </c>
    </row>
    <row r="11" spans="1:4" ht="42" customHeight="1" x14ac:dyDescent="0.3">
      <c r="A11" s="4" t="s">
        <v>19</v>
      </c>
      <c r="B11" s="5">
        <v>2979000</v>
      </c>
      <c r="C11" s="4" t="s">
        <v>20</v>
      </c>
      <c r="D11" s="6" t="s">
        <v>21</v>
      </c>
    </row>
    <row r="14" spans="1:4" x14ac:dyDescent="0.3">
      <c r="A14" s="7" t="s">
        <v>22</v>
      </c>
    </row>
    <row r="15" spans="1:4" x14ac:dyDescent="0.3">
      <c r="A15" s="21" t="s">
        <v>23</v>
      </c>
      <c r="B15" s="22"/>
      <c r="C15" s="22"/>
      <c r="D15" s="22"/>
    </row>
    <row r="16" spans="1:4" x14ac:dyDescent="0.3">
      <c r="A16" s="22"/>
      <c r="B16" s="22"/>
      <c r="C16" s="22"/>
      <c r="D16" s="22"/>
    </row>
    <row r="17" spans="1:4" x14ac:dyDescent="0.3">
      <c r="A17" s="22"/>
      <c r="B17" s="22"/>
      <c r="C17" s="22"/>
      <c r="D17" s="22"/>
    </row>
  </sheetData>
  <mergeCells count="1">
    <mergeCell ref="A15:D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216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9" customWidth="1"/>
    <col min="2" max="2" width="18" customWidth="1"/>
    <col min="3" max="3" width="8" customWidth="1"/>
    <col min="4" max="5" width="13" customWidth="1"/>
    <col min="6" max="6" width="11" customWidth="1"/>
    <col min="7" max="7" width="8" customWidth="1"/>
    <col min="8" max="8" width="7" customWidth="1"/>
    <col min="9" max="9" width="11" customWidth="1"/>
    <col min="10" max="10" width="9" customWidth="1"/>
    <col min="11" max="13" width="12" customWidth="1"/>
    <col min="14" max="14" width="13" customWidth="1"/>
    <col min="15" max="15" width="12" customWidth="1"/>
    <col min="16" max="16" width="11" customWidth="1"/>
    <col min="17" max="17" width="12" customWidth="1"/>
    <col min="18" max="18" width="10" customWidth="1"/>
    <col min="19" max="20" width="13" customWidth="1"/>
    <col min="21" max="22" width="12" customWidth="1"/>
    <col min="23" max="23" width="11" customWidth="1"/>
    <col min="24" max="24" width="12" customWidth="1"/>
    <col min="25" max="25" width="10" customWidth="1"/>
    <col min="26" max="27" width="13" customWidth="1"/>
    <col min="28" max="29" width="12" customWidth="1"/>
    <col min="30" max="30" width="10" customWidth="1"/>
    <col min="31" max="31" width="8" customWidth="1"/>
    <col min="32" max="32" width="10" customWidth="1"/>
    <col min="33" max="33" width="8" customWidth="1"/>
  </cols>
  <sheetData>
    <row r="1" spans="1:33" ht="17.399999999999999" x14ac:dyDescent="0.35">
      <c r="A1" s="1" t="s">
        <v>24</v>
      </c>
    </row>
    <row r="2" spans="1:33" x14ac:dyDescent="0.3">
      <c r="A2" s="2" t="s">
        <v>25</v>
      </c>
    </row>
    <row r="4" spans="1:33" ht="30" customHeight="1" x14ac:dyDescent="0.3">
      <c r="A4" s="3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33</v>
      </c>
      <c r="I4" s="3" t="s">
        <v>34</v>
      </c>
      <c r="J4" s="3" t="s">
        <v>35</v>
      </c>
      <c r="K4" s="3" t="s">
        <v>36</v>
      </c>
      <c r="L4" s="3" t="s">
        <v>37</v>
      </c>
      <c r="M4" s="3" t="s">
        <v>38</v>
      </c>
      <c r="N4" s="3" t="s">
        <v>39</v>
      </c>
      <c r="O4" s="3" t="s">
        <v>40</v>
      </c>
      <c r="P4" s="3" t="s">
        <v>41</v>
      </c>
      <c r="Q4" s="3" t="s">
        <v>42</v>
      </c>
      <c r="R4" s="3" t="s">
        <v>43</v>
      </c>
      <c r="S4" s="3" t="s">
        <v>44</v>
      </c>
      <c r="T4" s="3" t="s">
        <v>45</v>
      </c>
      <c r="U4" s="3" t="s">
        <v>46</v>
      </c>
      <c r="V4" s="3" t="s">
        <v>47</v>
      </c>
      <c r="W4" s="3" t="s">
        <v>48</v>
      </c>
      <c r="X4" s="3" t="s">
        <v>49</v>
      </c>
      <c r="Y4" s="3" t="s">
        <v>50</v>
      </c>
      <c r="Z4" s="3" t="s">
        <v>51</v>
      </c>
      <c r="AA4" s="3" t="s">
        <v>52</v>
      </c>
      <c r="AB4" s="3" t="s">
        <v>53</v>
      </c>
      <c r="AC4" s="3" t="s">
        <v>54</v>
      </c>
      <c r="AD4" s="3" t="s">
        <v>55</v>
      </c>
      <c r="AE4" s="3" t="s">
        <v>56</v>
      </c>
      <c r="AF4" s="3" t="s">
        <v>57</v>
      </c>
      <c r="AG4" s="3" t="s">
        <v>58</v>
      </c>
    </row>
    <row r="5" spans="1:33" x14ac:dyDescent="0.3">
      <c r="A5" s="8" t="s">
        <v>59</v>
      </c>
      <c r="B5" s="8" t="s">
        <v>60</v>
      </c>
      <c r="C5" s="8" t="s">
        <v>61</v>
      </c>
      <c r="D5" s="9">
        <v>2279487.0699999998</v>
      </c>
      <c r="E5" s="9">
        <v>326755.69</v>
      </c>
      <c r="F5" s="8">
        <v>5.6</v>
      </c>
      <c r="G5" s="8">
        <v>8</v>
      </c>
      <c r="H5" s="8">
        <v>1</v>
      </c>
      <c r="I5" s="8">
        <v>12</v>
      </c>
      <c r="J5" s="10">
        <f t="shared" ref="J5:J68" si="0">H5*(I5/12)</f>
        <v>1</v>
      </c>
      <c r="K5" s="11">
        <f t="shared" ref="K5:K68" si="1">D5/J5</f>
        <v>2279487.0699999998</v>
      </c>
      <c r="L5" s="11">
        <f t="shared" ref="L5:L68" si="2">E5/J5</f>
        <v>326755.69</v>
      </c>
      <c r="M5" s="11">
        <f t="shared" ref="M5:M68" si="3">K5+L5</f>
        <v>2606242.7599999998</v>
      </c>
      <c r="N5" s="11">
        <f t="shared" ref="N5:N68" si="4">D5+E5</f>
        <v>2606242.7599999998</v>
      </c>
      <c r="O5" s="11">
        <f t="shared" ref="O5:O68" si="5">(SUMIFS($M$5:$M$216,$B$5:$B$216,B5,$AD$5:$AD$216,INT((AE5+1)/2))+SUMIFS($M$5:$M$216,$B$5:$B$216,B5,$AD$5:$AD$216,INT(AE5/2)+1))/2</f>
        <v>2878288.9249999998</v>
      </c>
      <c r="P5" s="12">
        <f>IF(AND(C5="F",M5&lt;O5,SUMIFS(Категории!$Z$5:$Z$11,Категории!$A$5:$A$11,B5)=1),1,0)</f>
        <v>0</v>
      </c>
      <c r="Q5" s="11">
        <f t="shared" ref="Q5:Q68" si="6">IF(P5=1,O5-M5,0)</f>
        <v>0</v>
      </c>
      <c r="R5" s="10">
        <f>IF(AND(P5=1,SUMIFS(Категории!$AA$5:$AA$11,Категории!$A$5:$A$11,B5)&gt;0),Q5/SUMIFS(Категории!$AA$5:$AA$11,Категории!$A$5:$A$11,B5),0)</f>
        <v>0</v>
      </c>
      <c r="S5" s="11">
        <f>R5*SUMIFS(Категории!$AB$5:$AB$11,Категории!$A$5:$A$11,B5)</f>
        <v>0</v>
      </c>
      <c r="T5" s="11">
        <f t="shared" ref="T5:T68" si="7">S5*J5</f>
        <v>0</v>
      </c>
      <c r="U5" s="11">
        <f t="shared" ref="U5:U68" si="8">IF(T5&lt;=0,0,(rate_below/100)*MIN(T5,MAX(0,ceiling-D5))+(rate_above/100)*(T5-MIN(T5,MAX(0,ceiling-D5))))</f>
        <v>0</v>
      </c>
      <c r="V5" s="11">
        <f t="shared" ref="V5:V68" si="9">T5+U5</f>
        <v>0</v>
      </c>
      <c r="W5" s="12">
        <f>IF(AND(C5="F",M5&lt;O5,SUMIFS(Категории!$AH$5:$AH$11,Категории!$A$5:$A$11,B5)=1),1,0)</f>
        <v>0</v>
      </c>
      <c r="X5" s="11">
        <f t="shared" ref="X5:X68" si="10">IF(W5=1,O5-M5,0)</f>
        <v>0</v>
      </c>
      <c r="Y5" s="10">
        <f>IF(AND(W5=1,SUMIFS(Категории!$AI$5:$AI$11,Категории!$A$5:$A$11,B5)&gt;0),X5/SUMIFS(Категории!$AI$5:$AI$11,Категории!$A$5:$A$11,B5),0)</f>
        <v>0</v>
      </c>
      <c r="Z5" s="11">
        <f>Y5*SUMIFS(Категории!$AJ$5:$AJ$11,Категории!$A$5:$A$11,B5)</f>
        <v>0</v>
      </c>
      <c r="AA5" s="11">
        <f t="shared" ref="AA5:AA68" si="11">Z5*J5</f>
        <v>0</v>
      </c>
      <c r="AB5" s="11">
        <f t="shared" ref="AB5:AB68" si="12">IF(AA5&lt;=0,0,(rate_below/100)*MIN(AA5,MAX(0,ceiling-D5))+(rate_above/100)*(AA5-MIN(AA5,MAX(0,ceiling-D5))))</f>
        <v>0</v>
      </c>
      <c r="AC5" s="11">
        <f t="shared" ref="AC5:AC68" si="13">AA5+AB5</f>
        <v>0</v>
      </c>
      <c r="AD5" s="12">
        <f t="shared" ref="AD5:AD68" si="14">SUMPRODUCT(($B$5:$B$216=B5)*($M$5:$M$216&lt;M5))+SUMPRODUCT(($B$5:$B$216=B5)*($M$5:$M$216=M5)*(ROW($M$5:$M$216)&lt;ROW(M5)))+1</f>
        <v>17</v>
      </c>
      <c r="AE5" s="12">
        <f t="shared" ref="AE5:AE68" si="15">COUNTIF($B$5:$B$216,B5)</f>
        <v>44</v>
      </c>
      <c r="AF5" s="12">
        <f t="shared" ref="AF5:AF68" si="16">SUMPRODUCT(($B$5:$B$216=B5)*($C$5:$C$216=C5)*($M$5:$M$216&lt;M5))+SUMPRODUCT(($B$5:$B$216=B5)*($C$5:$C$216=C5)*($M$5:$M$216=M5)*(ROW($M$5:$M$216)&lt;ROW(M5)))+1</f>
        <v>11</v>
      </c>
      <c r="AG5" s="12">
        <f t="shared" ref="AG5:AG68" si="17">COUNTIFS($B$5:$B$216,B5,$C$5:$C$216,C5)</f>
        <v>32</v>
      </c>
    </row>
    <row r="6" spans="1:33" x14ac:dyDescent="0.3">
      <c r="A6" s="8" t="s">
        <v>62</v>
      </c>
      <c r="B6" s="8" t="s">
        <v>60</v>
      </c>
      <c r="C6" s="8" t="s">
        <v>61</v>
      </c>
      <c r="D6" s="9">
        <v>2639865.7400000002</v>
      </c>
      <c r="E6" s="9">
        <v>353090.63</v>
      </c>
      <c r="F6" s="8">
        <v>8.9</v>
      </c>
      <c r="G6" s="8">
        <v>9</v>
      </c>
      <c r="H6" s="8">
        <v>1</v>
      </c>
      <c r="I6" s="8">
        <v>12</v>
      </c>
      <c r="J6" s="10">
        <f t="shared" si="0"/>
        <v>1</v>
      </c>
      <c r="K6" s="11">
        <f t="shared" si="1"/>
        <v>2639865.7400000002</v>
      </c>
      <c r="L6" s="11">
        <f t="shared" si="2"/>
        <v>353090.63</v>
      </c>
      <c r="M6" s="11">
        <f t="shared" si="3"/>
        <v>2992956.37</v>
      </c>
      <c r="N6" s="11">
        <f t="shared" si="4"/>
        <v>2992956.37</v>
      </c>
      <c r="O6" s="11">
        <f t="shared" si="5"/>
        <v>2878288.9249999998</v>
      </c>
      <c r="P6" s="12">
        <f>IF(AND(C6="F",M6&lt;O6,SUMIFS(Категории!$Z$5:$Z$11,Категории!$A$5:$A$11,B6)=1),1,0)</f>
        <v>0</v>
      </c>
      <c r="Q6" s="11">
        <f t="shared" si="6"/>
        <v>0</v>
      </c>
      <c r="R6" s="10">
        <f>IF(AND(P6=1,SUMIFS(Категории!$AA$5:$AA$11,Категории!$A$5:$A$11,B6)&gt;0),Q6/SUMIFS(Категории!$AA$5:$AA$11,Категории!$A$5:$A$11,B6),0)</f>
        <v>0</v>
      </c>
      <c r="S6" s="11">
        <f>R6*SUMIFS(Категории!$AB$5:$AB$11,Категории!$A$5:$A$11,B6)</f>
        <v>0</v>
      </c>
      <c r="T6" s="11">
        <f t="shared" si="7"/>
        <v>0</v>
      </c>
      <c r="U6" s="11">
        <f t="shared" si="8"/>
        <v>0</v>
      </c>
      <c r="V6" s="11">
        <f t="shared" si="9"/>
        <v>0</v>
      </c>
      <c r="W6" s="12">
        <f>IF(AND(C6="F",M6&lt;O6,SUMIFS(Категории!$AH$5:$AH$11,Категории!$A$5:$A$11,B6)=1),1,0)</f>
        <v>0</v>
      </c>
      <c r="X6" s="11">
        <f t="shared" si="10"/>
        <v>0</v>
      </c>
      <c r="Y6" s="10">
        <f>IF(AND(W6=1,SUMIFS(Категории!$AI$5:$AI$11,Категории!$A$5:$A$11,B6)&gt;0),X6/SUMIFS(Категории!$AI$5:$AI$11,Категории!$A$5:$A$11,B6),0)</f>
        <v>0</v>
      </c>
      <c r="Z6" s="11">
        <f>Y6*SUMIFS(Категории!$AJ$5:$AJ$11,Категории!$A$5:$A$11,B6)</f>
        <v>0</v>
      </c>
      <c r="AA6" s="11">
        <f t="shared" si="11"/>
        <v>0</v>
      </c>
      <c r="AB6" s="11">
        <f t="shared" si="12"/>
        <v>0</v>
      </c>
      <c r="AC6" s="11">
        <f t="shared" si="13"/>
        <v>0</v>
      </c>
      <c r="AD6" s="12">
        <f t="shared" si="14"/>
        <v>25</v>
      </c>
      <c r="AE6" s="12">
        <f t="shared" si="15"/>
        <v>44</v>
      </c>
      <c r="AF6" s="12">
        <f t="shared" si="16"/>
        <v>17</v>
      </c>
      <c r="AG6" s="12">
        <f t="shared" si="17"/>
        <v>32</v>
      </c>
    </row>
    <row r="7" spans="1:33" x14ac:dyDescent="0.3">
      <c r="A7" s="8" t="s">
        <v>63</v>
      </c>
      <c r="B7" s="8" t="s">
        <v>60</v>
      </c>
      <c r="C7" s="8" t="s">
        <v>61</v>
      </c>
      <c r="D7" s="9">
        <v>3189911.32</v>
      </c>
      <c r="E7" s="9">
        <v>450501.95</v>
      </c>
      <c r="F7" s="8">
        <v>11.8</v>
      </c>
      <c r="G7" s="8">
        <v>11</v>
      </c>
      <c r="H7" s="8">
        <v>1</v>
      </c>
      <c r="I7" s="8">
        <v>12</v>
      </c>
      <c r="J7" s="10">
        <f t="shared" si="0"/>
        <v>1</v>
      </c>
      <c r="K7" s="11">
        <f t="shared" si="1"/>
        <v>3189911.32</v>
      </c>
      <c r="L7" s="11">
        <f t="shared" si="2"/>
        <v>450501.95</v>
      </c>
      <c r="M7" s="11">
        <f t="shared" si="3"/>
        <v>3640413.27</v>
      </c>
      <c r="N7" s="11">
        <f t="shared" si="4"/>
        <v>3640413.27</v>
      </c>
      <c r="O7" s="11">
        <f t="shared" si="5"/>
        <v>2878288.9249999998</v>
      </c>
      <c r="P7" s="12">
        <f>IF(AND(C7="F",M7&lt;O7,SUMIFS(Категории!$Z$5:$Z$11,Категории!$A$5:$A$11,B7)=1),1,0)</f>
        <v>0</v>
      </c>
      <c r="Q7" s="11">
        <f t="shared" si="6"/>
        <v>0</v>
      </c>
      <c r="R7" s="10">
        <f>IF(AND(P7=1,SUMIFS(Категории!$AA$5:$AA$11,Категории!$A$5:$A$11,B7)&gt;0),Q7/SUMIFS(Категории!$AA$5:$AA$11,Категории!$A$5:$A$11,B7),0)</f>
        <v>0</v>
      </c>
      <c r="S7" s="11">
        <f>R7*SUMIFS(Категории!$AB$5:$AB$11,Категории!$A$5:$A$11,B7)</f>
        <v>0</v>
      </c>
      <c r="T7" s="11">
        <f t="shared" si="7"/>
        <v>0</v>
      </c>
      <c r="U7" s="11">
        <f t="shared" si="8"/>
        <v>0</v>
      </c>
      <c r="V7" s="11">
        <f t="shared" si="9"/>
        <v>0</v>
      </c>
      <c r="W7" s="12">
        <f>IF(AND(C7="F",M7&lt;O7,SUMIFS(Категории!$AH$5:$AH$11,Категории!$A$5:$A$11,B7)=1),1,0)</f>
        <v>0</v>
      </c>
      <c r="X7" s="11">
        <f t="shared" si="10"/>
        <v>0</v>
      </c>
      <c r="Y7" s="10">
        <f>IF(AND(W7=1,SUMIFS(Категории!$AI$5:$AI$11,Категории!$A$5:$A$11,B7)&gt;0),X7/SUMIFS(Категории!$AI$5:$AI$11,Категории!$A$5:$A$11,B7),0)</f>
        <v>0</v>
      </c>
      <c r="Z7" s="11">
        <f>Y7*SUMIFS(Категории!$AJ$5:$AJ$11,Категории!$A$5:$A$11,B7)</f>
        <v>0</v>
      </c>
      <c r="AA7" s="11">
        <f t="shared" si="11"/>
        <v>0</v>
      </c>
      <c r="AB7" s="11">
        <f t="shared" si="12"/>
        <v>0</v>
      </c>
      <c r="AC7" s="11">
        <f t="shared" si="13"/>
        <v>0</v>
      </c>
      <c r="AD7" s="12">
        <f t="shared" si="14"/>
        <v>40</v>
      </c>
      <c r="AE7" s="12">
        <f t="shared" si="15"/>
        <v>44</v>
      </c>
      <c r="AF7" s="12">
        <f t="shared" si="16"/>
        <v>28</v>
      </c>
      <c r="AG7" s="12">
        <f t="shared" si="17"/>
        <v>32</v>
      </c>
    </row>
    <row r="8" spans="1:33" x14ac:dyDescent="0.3">
      <c r="A8" s="8" t="s">
        <v>64</v>
      </c>
      <c r="B8" s="8" t="s">
        <v>60</v>
      </c>
      <c r="C8" s="8" t="s">
        <v>61</v>
      </c>
      <c r="D8" s="9">
        <v>2931387.46</v>
      </c>
      <c r="E8" s="9">
        <v>351548.24</v>
      </c>
      <c r="F8" s="8">
        <v>7.4</v>
      </c>
      <c r="G8" s="8">
        <v>10</v>
      </c>
      <c r="H8" s="8">
        <v>1</v>
      </c>
      <c r="I8" s="8">
        <v>12</v>
      </c>
      <c r="J8" s="10">
        <f t="shared" si="0"/>
        <v>1</v>
      </c>
      <c r="K8" s="11">
        <f t="shared" si="1"/>
        <v>2931387.46</v>
      </c>
      <c r="L8" s="11">
        <f t="shared" si="2"/>
        <v>351548.24</v>
      </c>
      <c r="M8" s="11">
        <f t="shared" si="3"/>
        <v>3282935.7</v>
      </c>
      <c r="N8" s="11">
        <f t="shared" si="4"/>
        <v>3282935.7</v>
      </c>
      <c r="O8" s="11">
        <f t="shared" si="5"/>
        <v>2878288.9249999998</v>
      </c>
      <c r="P8" s="12">
        <f>IF(AND(C8="F",M8&lt;O8,SUMIFS(Категории!$Z$5:$Z$11,Категории!$A$5:$A$11,B8)=1),1,0)</f>
        <v>0</v>
      </c>
      <c r="Q8" s="11">
        <f t="shared" si="6"/>
        <v>0</v>
      </c>
      <c r="R8" s="10">
        <f>IF(AND(P8=1,SUMIFS(Категории!$AA$5:$AA$11,Категории!$A$5:$A$11,B8)&gt;0),Q8/SUMIFS(Категории!$AA$5:$AA$11,Категории!$A$5:$A$11,B8),0)</f>
        <v>0</v>
      </c>
      <c r="S8" s="11">
        <f>R8*SUMIFS(Категории!$AB$5:$AB$11,Категории!$A$5:$A$11,B8)</f>
        <v>0</v>
      </c>
      <c r="T8" s="11">
        <f t="shared" si="7"/>
        <v>0</v>
      </c>
      <c r="U8" s="11">
        <f t="shared" si="8"/>
        <v>0</v>
      </c>
      <c r="V8" s="11">
        <f t="shared" si="9"/>
        <v>0</v>
      </c>
      <c r="W8" s="12">
        <f>IF(AND(C8="F",M8&lt;O8,SUMIFS(Категории!$AH$5:$AH$11,Категории!$A$5:$A$11,B8)=1),1,0)</f>
        <v>0</v>
      </c>
      <c r="X8" s="11">
        <f t="shared" si="10"/>
        <v>0</v>
      </c>
      <c r="Y8" s="10">
        <f>IF(AND(W8=1,SUMIFS(Категории!$AI$5:$AI$11,Категории!$A$5:$A$11,B8)&gt;0),X8/SUMIFS(Категории!$AI$5:$AI$11,Категории!$A$5:$A$11,B8),0)</f>
        <v>0</v>
      </c>
      <c r="Z8" s="11">
        <f>Y8*SUMIFS(Категории!$AJ$5:$AJ$11,Категории!$A$5:$A$11,B8)</f>
        <v>0</v>
      </c>
      <c r="AA8" s="11">
        <f t="shared" si="11"/>
        <v>0</v>
      </c>
      <c r="AB8" s="11">
        <f t="shared" si="12"/>
        <v>0</v>
      </c>
      <c r="AC8" s="11">
        <f t="shared" si="13"/>
        <v>0</v>
      </c>
      <c r="AD8" s="12">
        <f t="shared" si="14"/>
        <v>33</v>
      </c>
      <c r="AE8" s="12">
        <f t="shared" si="15"/>
        <v>44</v>
      </c>
      <c r="AF8" s="12">
        <f t="shared" si="16"/>
        <v>22</v>
      </c>
      <c r="AG8" s="12">
        <f t="shared" si="17"/>
        <v>32</v>
      </c>
    </row>
    <row r="9" spans="1:33" x14ac:dyDescent="0.3">
      <c r="A9" s="8" t="s">
        <v>65</v>
      </c>
      <c r="B9" s="8" t="s">
        <v>60</v>
      </c>
      <c r="C9" s="8" t="s">
        <v>66</v>
      </c>
      <c r="D9" s="9">
        <v>2781538.48</v>
      </c>
      <c r="E9" s="9">
        <v>266166.46000000002</v>
      </c>
      <c r="F9" s="8">
        <v>6.6</v>
      </c>
      <c r="G9" s="8">
        <v>10</v>
      </c>
      <c r="H9" s="8">
        <v>1</v>
      </c>
      <c r="I9" s="8">
        <v>12</v>
      </c>
      <c r="J9" s="10">
        <f t="shared" si="0"/>
        <v>1</v>
      </c>
      <c r="K9" s="11">
        <f t="shared" si="1"/>
        <v>2781538.48</v>
      </c>
      <c r="L9" s="11">
        <f t="shared" si="2"/>
        <v>266166.46000000002</v>
      </c>
      <c r="M9" s="11">
        <f t="shared" si="3"/>
        <v>3047704.94</v>
      </c>
      <c r="N9" s="11">
        <f t="shared" si="4"/>
        <v>3047704.94</v>
      </c>
      <c r="O9" s="11">
        <f t="shared" si="5"/>
        <v>2878288.9249999998</v>
      </c>
      <c r="P9" s="12">
        <f>IF(AND(C9="F",M9&lt;O9,SUMIFS(Категории!$Z$5:$Z$11,Категории!$A$5:$A$11,B9)=1),1,0)</f>
        <v>0</v>
      </c>
      <c r="Q9" s="11">
        <f t="shared" si="6"/>
        <v>0</v>
      </c>
      <c r="R9" s="10">
        <f>IF(AND(P9=1,SUMIFS(Категории!$AA$5:$AA$11,Категории!$A$5:$A$11,B9)&gt;0),Q9/SUMIFS(Категории!$AA$5:$AA$11,Категории!$A$5:$A$11,B9),0)</f>
        <v>0</v>
      </c>
      <c r="S9" s="11">
        <f>R9*SUMIFS(Категории!$AB$5:$AB$11,Категории!$A$5:$A$11,B9)</f>
        <v>0</v>
      </c>
      <c r="T9" s="11">
        <f t="shared" si="7"/>
        <v>0</v>
      </c>
      <c r="U9" s="11">
        <f t="shared" si="8"/>
        <v>0</v>
      </c>
      <c r="V9" s="11">
        <f t="shared" si="9"/>
        <v>0</v>
      </c>
      <c r="W9" s="12">
        <f>IF(AND(C9="F",M9&lt;O9,SUMIFS(Категории!$AH$5:$AH$11,Категории!$A$5:$A$11,B9)=1),1,0)</f>
        <v>0</v>
      </c>
      <c r="X9" s="11">
        <f t="shared" si="10"/>
        <v>0</v>
      </c>
      <c r="Y9" s="10">
        <f>IF(AND(W9=1,SUMIFS(Категории!$AI$5:$AI$11,Категории!$A$5:$A$11,B9)&gt;0),X9/SUMIFS(Категории!$AI$5:$AI$11,Категории!$A$5:$A$11,B9),0)</f>
        <v>0</v>
      </c>
      <c r="Z9" s="11">
        <f>Y9*SUMIFS(Категории!$AJ$5:$AJ$11,Категории!$A$5:$A$11,B9)</f>
        <v>0</v>
      </c>
      <c r="AA9" s="11">
        <f t="shared" si="11"/>
        <v>0</v>
      </c>
      <c r="AB9" s="11">
        <f t="shared" si="12"/>
        <v>0</v>
      </c>
      <c r="AC9" s="11">
        <f t="shared" si="13"/>
        <v>0</v>
      </c>
      <c r="AD9" s="12">
        <f t="shared" si="14"/>
        <v>26</v>
      </c>
      <c r="AE9" s="12">
        <f t="shared" si="15"/>
        <v>44</v>
      </c>
      <c r="AF9" s="12">
        <f t="shared" si="16"/>
        <v>9</v>
      </c>
      <c r="AG9" s="12">
        <f t="shared" si="17"/>
        <v>12</v>
      </c>
    </row>
    <row r="10" spans="1:33" x14ac:dyDescent="0.3">
      <c r="A10" s="8" t="s">
        <v>67</v>
      </c>
      <c r="B10" s="8" t="s">
        <v>60</v>
      </c>
      <c r="C10" s="8" t="s">
        <v>61</v>
      </c>
      <c r="D10" s="9">
        <v>2409927.6</v>
      </c>
      <c r="E10" s="9">
        <v>250698.94</v>
      </c>
      <c r="F10" s="8">
        <v>5.5</v>
      </c>
      <c r="G10" s="8">
        <v>9</v>
      </c>
      <c r="H10" s="8">
        <v>1</v>
      </c>
      <c r="I10" s="8">
        <v>12</v>
      </c>
      <c r="J10" s="10">
        <f t="shared" si="0"/>
        <v>1</v>
      </c>
      <c r="K10" s="11">
        <f t="shared" si="1"/>
        <v>2409927.6</v>
      </c>
      <c r="L10" s="11">
        <f t="shared" si="2"/>
        <v>250698.94</v>
      </c>
      <c r="M10" s="11">
        <f t="shared" si="3"/>
        <v>2660626.54</v>
      </c>
      <c r="N10" s="11">
        <f t="shared" si="4"/>
        <v>2660626.54</v>
      </c>
      <c r="O10" s="11">
        <f t="shared" si="5"/>
        <v>2878288.9249999998</v>
      </c>
      <c r="P10" s="12">
        <f>IF(AND(C10="F",M10&lt;O10,SUMIFS(Категории!$Z$5:$Z$11,Категории!$A$5:$A$11,B10)=1),1,0)</f>
        <v>0</v>
      </c>
      <c r="Q10" s="11">
        <f t="shared" si="6"/>
        <v>0</v>
      </c>
      <c r="R10" s="10">
        <f>IF(AND(P10=1,SUMIFS(Категории!$AA$5:$AA$11,Категории!$A$5:$A$11,B10)&gt;0),Q10/SUMIFS(Категории!$AA$5:$AA$11,Категории!$A$5:$A$11,B10),0)</f>
        <v>0</v>
      </c>
      <c r="S10" s="11">
        <f>R10*SUMIFS(Категории!$AB$5:$AB$11,Категории!$A$5:$A$11,B10)</f>
        <v>0</v>
      </c>
      <c r="T10" s="11">
        <f t="shared" si="7"/>
        <v>0</v>
      </c>
      <c r="U10" s="11">
        <f t="shared" si="8"/>
        <v>0</v>
      </c>
      <c r="V10" s="11">
        <f t="shared" si="9"/>
        <v>0</v>
      </c>
      <c r="W10" s="12">
        <f>IF(AND(C10="F",M10&lt;O10,SUMIFS(Категории!$AH$5:$AH$11,Категории!$A$5:$A$11,B10)=1),1,0)</f>
        <v>0</v>
      </c>
      <c r="X10" s="11">
        <f t="shared" si="10"/>
        <v>0</v>
      </c>
      <c r="Y10" s="10">
        <f>IF(AND(W10=1,SUMIFS(Категории!$AI$5:$AI$11,Категории!$A$5:$A$11,B10)&gt;0),X10/SUMIFS(Категории!$AI$5:$AI$11,Категории!$A$5:$A$11,B10),0)</f>
        <v>0</v>
      </c>
      <c r="Z10" s="11">
        <f>Y10*SUMIFS(Категории!$AJ$5:$AJ$11,Категории!$A$5:$A$11,B10)</f>
        <v>0</v>
      </c>
      <c r="AA10" s="11">
        <f t="shared" si="11"/>
        <v>0</v>
      </c>
      <c r="AB10" s="11">
        <f t="shared" si="12"/>
        <v>0</v>
      </c>
      <c r="AC10" s="11">
        <f t="shared" si="13"/>
        <v>0</v>
      </c>
      <c r="AD10" s="12">
        <f t="shared" si="14"/>
        <v>18</v>
      </c>
      <c r="AE10" s="12">
        <f t="shared" si="15"/>
        <v>44</v>
      </c>
      <c r="AF10" s="12">
        <f t="shared" si="16"/>
        <v>12</v>
      </c>
      <c r="AG10" s="12">
        <f t="shared" si="17"/>
        <v>32</v>
      </c>
    </row>
    <row r="11" spans="1:33" x14ac:dyDescent="0.3">
      <c r="A11" s="8" t="s">
        <v>68</v>
      </c>
      <c r="B11" s="8" t="s">
        <v>60</v>
      </c>
      <c r="C11" s="8" t="s">
        <v>61</v>
      </c>
      <c r="D11" s="9">
        <v>1919325.45</v>
      </c>
      <c r="E11" s="9">
        <v>226608.03</v>
      </c>
      <c r="F11" s="8">
        <v>4.8</v>
      </c>
      <c r="G11" s="8">
        <v>7</v>
      </c>
      <c r="H11" s="8">
        <v>1</v>
      </c>
      <c r="I11" s="8">
        <v>12</v>
      </c>
      <c r="J11" s="10">
        <f t="shared" si="0"/>
        <v>1</v>
      </c>
      <c r="K11" s="11">
        <f t="shared" si="1"/>
        <v>1919325.45</v>
      </c>
      <c r="L11" s="11">
        <f t="shared" si="2"/>
        <v>226608.03</v>
      </c>
      <c r="M11" s="11">
        <f t="shared" si="3"/>
        <v>2145933.48</v>
      </c>
      <c r="N11" s="11">
        <f t="shared" si="4"/>
        <v>2145933.48</v>
      </c>
      <c r="O11" s="11">
        <f t="shared" si="5"/>
        <v>2878288.9249999998</v>
      </c>
      <c r="P11" s="12">
        <f>IF(AND(C11="F",M11&lt;O11,SUMIFS(Категории!$Z$5:$Z$11,Категории!$A$5:$A$11,B11)=1),1,0)</f>
        <v>0</v>
      </c>
      <c r="Q11" s="11">
        <f t="shared" si="6"/>
        <v>0</v>
      </c>
      <c r="R11" s="10">
        <f>IF(AND(P11=1,SUMIFS(Категории!$AA$5:$AA$11,Категории!$A$5:$A$11,B11)&gt;0),Q11/SUMIFS(Категории!$AA$5:$AA$11,Категории!$A$5:$A$11,B11),0)</f>
        <v>0</v>
      </c>
      <c r="S11" s="11">
        <f>R11*SUMIFS(Категории!$AB$5:$AB$11,Категории!$A$5:$A$11,B11)</f>
        <v>0</v>
      </c>
      <c r="T11" s="11">
        <f t="shared" si="7"/>
        <v>0</v>
      </c>
      <c r="U11" s="11">
        <f t="shared" si="8"/>
        <v>0</v>
      </c>
      <c r="V11" s="11">
        <f t="shared" si="9"/>
        <v>0</v>
      </c>
      <c r="W11" s="12">
        <f>IF(AND(C11="F",M11&lt;O11,SUMIFS(Категории!$AH$5:$AH$11,Категории!$A$5:$A$11,B11)=1),1,0)</f>
        <v>0</v>
      </c>
      <c r="X11" s="11">
        <f t="shared" si="10"/>
        <v>0</v>
      </c>
      <c r="Y11" s="10">
        <f>IF(AND(W11=1,SUMIFS(Категории!$AI$5:$AI$11,Категории!$A$5:$A$11,B11)&gt;0),X11/SUMIFS(Категории!$AI$5:$AI$11,Категории!$A$5:$A$11,B11),0)</f>
        <v>0</v>
      </c>
      <c r="Z11" s="11">
        <f>Y11*SUMIFS(Категории!$AJ$5:$AJ$11,Категории!$A$5:$A$11,B11)</f>
        <v>0</v>
      </c>
      <c r="AA11" s="11">
        <f t="shared" si="11"/>
        <v>0</v>
      </c>
      <c r="AB11" s="11">
        <f t="shared" si="12"/>
        <v>0</v>
      </c>
      <c r="AC11" s="11">
        <f t="shared" si="13"/>
        <v>0</v>
      </c>
      <c r="AD11" s="12">
        <f t="shared" si="14"/>
        <v>5</v>
      </c>
      <c r="AE11" s="12">
        <f t="shared" si="15"/>
        <v>44</v>
      </c>
      <c r="AF11" s="12">
        <f t="shared" si="16"/>
        <v>3</v>
      </c>
      <c r="AG11" s="12">
        <f t="shared" si="17"/>
        <v>32</v>
      </c>
    </row>
    <row r="12" spans="1:33" x14ac:dyDescent="0.3">
      <c r="A12" s="8" t="s">
        <v>69</v>
      </c>
      <c r="B12" s="8" t="s">
        <v>60</v>
      </c>
      <c r="C12" s="8" t="s">
        <v>61</v>
      </c>
      <c r="D12" s="9">
        <v>3170943.49</v>
      </c>
      <c r="E12" s="9">
        <v>292929.59000000003</v>
      </c>
      <c r="F12" s="8">
        <v>6.6</v>
      </c>
      <c r="G12" s="8">
        <v>11</v>
      </c>
      <c r="H12" s="8">
        <v>1</v>
      </c>
      <c r="I12" s="8">
        <v>12</v>
      </c>
      <c r="J12" s="10">
        <f t="shared" si="0"/>
        <v>1</v>
      </c>
      <c r="K12" s="11">
        <f t="shared" si="1"/>
        <v>3170943.49</v>
      </c>
      <c r="L12" s="11">
        <f t="shared" si="2"/>
        <v>292929.59000000003</v>
      </c>
      <c r="M12" s="11">
        <f t="shared" si="3"/>
        <v>3463873.08</v>
      </c>
      <c r="N12" s="11">
        <f t="shared" si="4"/>
        <v>3463873.08</v>
      </c>
      <c r="O12" s="11">
        <f t="shared" si="5"/>
        <v>2878288.9249999998</v>
      </c>
      <c r="P12" s="12">
        <f>IF(AND(C12="F",M12&lt;O12,SUMIFS(Категории!$Z$5:$Z$11,Категории!$A$5:$A$11,B12)=1),1,0)</f>
        <v>0</v>
      </c>
      <c r="Q12" s="11">
        <f t="shared" si="6"/>
        <v>0</v>
      </c>
      <c r="R12" s="10">
        <f>IF(AND(P12=1,SUMIFS(Категории!$AA$5:$AA$11,Категории!$A$5:$A$11,B12)&gt;0),Q12/SUMIFS(Категории!$AA$5:$AA$11,Категории!$A$5:$A$11,B12),0)</f>
        <v>0</v>
      </c>
      <c r="S12" s="11">
        <f>R12*SUMIFS(Категории!$AB$5:$AB$11,Категории!$A$5:$A$11,B12)</f>
        <v>0</v>
      </c>
      <c r="T12" s="11">
        <f t="shared" si="7"/>
        <v>0</v>
      </c>
      <c r="U12" s="11">
        <f t="shared" si="8"/>
        <v>0</v>
      </c>
      <c r="V12" s="11">
        <f t="shared" si="9"/>
        <v>0</v>
      </c>
      <c r="W12" s="12">
        <f>IF(AND(C12="F",M12&lt;O12,SUMIFS(Категории!$AH$5:$AH$11,Категории!$A$5:$A$11,B12)=1),1,0)</f>
        <v>0</v>
      </c>
      <c r="X12" s="11">
        <f t="shared" si="10"/>
        <v>0</v>
      </c>
      <c r="Y12" s="10">
        <f>IF(AND(W12=1,SUMIFS(Категории!$AI$5:$AI$11,Категории!$A$5:$A$11,B12)&gt;0),X12/SUMIFS(Категории!$AI$5:$AI$11,Категории!$A$5:$A$11,B12),0)</f>
        <v>0</v>
      </c>
      <c r="Z12" s="11">
        <f>Y12*SUMIFS(Категории!$AJ$5:$AJ$11,Категории!$A$5:$A$11,B12)</f>
        <v>0</v>
      </c>
      <c r="AA12" s="11">
        <f t="shared" si="11"/>
        <v>0</v>
      </c>
      <c r="AB12" s="11">
        <f t="shared" si="12"/>
        <v>0</v>
      </c>
      <c r="AC12" s="11">
        <f t="shared" si="13"/>
        <v>0</v>
      </c>
      <c r="AD12" s="12">
        <f t="shared" si="14"/>
        <v>37</v>
      </c>
      <c r="AE12" s="12">
        <f t="shared" si="15"/>
        <v>44</v>
      </c>
      <c r="AF12" s="12">
        <f t="shared" si="16"/>
        <v>25</v>
      </c>
      <c r="AG12" s="12">
        <f t="shared" si="17"/>
        <v>32</v>
      </c>
    </row>
    <row r="13" spans="1:33" x14ac:dyDescent="0.3">
      <c r="A13" s="8" t="s">
        <v>70</v>
      </c>
      <c r="B13" s="8" t="s">
        <v>60</v>
      </c>
      <c r="C13" s="8" t="s">
        <v>61</v>
      </c>
      <c r="D13" s="9">
        <v>2263916.5299999998</v>
      </c>
      <c r="E13" s="9">
        <v>242939.31</v>
      </c>
      <c r="F13" s="8">
        <v>5.9</v>
      </c>
      <c r="G13" s="8">
        <v>8</v>
      </c>
      <c r="H13" s="8">
        <v>1</v>
      </c>
      <c r="I13" s="8">
        <v>12</v>
      </c>
      <c r="J13" s="10">
        <f t="shared" si="0"/>
        <v>1</v>
      </c>
      <c r="K13" s="11">
        <f t="shared" si="1"/>
        <v>2263916.5299999998</v>
      </c>
      <c r="L13" s="11">
        <f t="shared" si="2"/>
        <v>242939.31</v>
      </c>
      <c r="M13" s="11">
        <f t="shared" si="3"/>
        <v>2506855.84</v>
      </c>
      <c r="N13" s="11">
        <f t="shared" si="4"/>
        <v>2506855.84</v>
      </c>
      <c r="O13" s="11">
        <f t="shared" si="5"/>
        <v>2878288.9249999998</v>
      </c>
      <c r="P13" s="12">
        <f>IF(AND(C13="F",M13&lt;O13,SUMIFS(Категории!$Z$5:$Z$11,Категории!$A$5:$A$11,B13)=1),1,0)</f>
        <v>0</v>
      </c>
      <c r="Q13" s="11">
        <f t="shared" si="6"/>
        <v>0</v>
      </c>
      <c r="R13" s="10">
        <f>IF(AND(P13=1,SUMIFS(Категории!$AA$5:$AA$11,Категории!$A$5:$A$11,B13)&gt;0),Q13/SUMIFS(Категории!$AA$5:$AA$11,Категории!$A$5:$A$11,B13),0)</f>
        <v>0</v>
      </c>
      <c r="S13" s="11">
        <f>R13*SUMIFS(Категории!$AB$5:$AB$11,Категории!$A$5:$A$11,B13)</f>
        <v>0</v>
      </c>
      <c r="T13" s="11">
        <f t="shared" si="7"/>
        <v>0</v>
      </c>
      <c r="U13" s="11">
        <f t="shared" si="8"/>
        <v>0</v>
      </c>
      <c r="V13" s="11">
        <f t="shared" si="9"/>
        <v>0</v>
      </c>
      <c r="W13" s="12">
        <f>IF(AND(C13="F",M13&lt;O13,SUMIFS(Категории!$AH$5:$AH$11,Категории!$A$5:$A$11,B13)=1),1,0)</f>
        <v>0</v>
      </c>
      <c r="X13" s="11">
        <f t="shared" si="10"/>
        <v>0</v>
      </c>
      <c r="Y13" s="10">
        <f>IF(AND(W13=1,SUMIFS(Категории!$AI$5:$AI$11,Категории!$A$5:$A$11,B13)&gt;0),X13/SUMIFS(Категории!$AI$5:$AI$11,Категории!$A$5:$A$11,B13),0)</f>
        <v>0</v>
      </c>
      <c r="Z13" s="11">
        <f>Y13*SUMIFS(Категории!$AJ$5:$AJ$11,Категории!$A$5:$A$11,B13)</f>
        <v>0</v>
      </c>
      <c r="AA13" s="11">
        <f t="shared" si="11"/>
        <v>0</v>
      </c>
      <c r="AB13" s="11">
        <f t="shared" si="12"/>
        <v>0</v>
      </c>
      <c r="AC13" s="11">
        <f t="shared" si="13"/>
        <v>0</v>
      </c>
      <c r="AD13" s="12">
        <f t="shared" si="14"/>
        <v>15</v>
      </c>
      <c r="AE13" s="12">
        <f t="shared" si="15"/>
        <v>44</v>
      </c>
      <c r="AF13" s="12">
        <f t="shared" si="16"/>
        <v>9</v>
      </c>
      <c r="AG13" s="12">
        <f t="shared" si="17"/>
        <v>32</v>
      </c>
    </row>
    <row r="14" spans="1:33" x14ac:dyDescent="0.3">
      <c r="A14" s="8" t="s">
        <v>71</v>
      </c>
      <c r="B14" s="8" t="s">
        <v>60</v>
      </c>
      <c r="C14" s="8" t="s">
        <v>61</v>
      </c>
      <c r="D14" s="9">
        <v>3024298.12</v>
      </c>
      <c r="E14" s="9">
        <v>362676.52</v>
      </c>
      <c r="F14" s="8">
        <v>9.6999999999999993</v>
      </c>
      <c r="G14" s="8">
        <v>10</v>
      </c>
      <c r="H14" s="8">
        <v>1</v>
      </c>
      <c r="I14" s="8">
        <v>12</v>
      </c>
      <c r="J14" s="10">
        <f t="shared" si="0"/>
        <v>1</v>
      </c>
      <c r="K14" s="11">
        <f t="shared" si="1"/>
        <v>3024298.12</v>
      </c>
      <c r="L14" s="11">
        <f t="shared" si="2"/>
        <v>362676.52</v>
      </c>
      <c r="M14" s="11">
        <f t="shared" si="3"/>
        <v>3386974.64</v>
      </c>
      <c r="N14" s="11">
        <f t="shared" si="4"/>
        <v>3386974.64</v>
      </c>
      <c r="O14" s="11">
        <f t="shared" si="5"/>
        <v>2878288.9249999998</v>
      </c>
      <c r="P14" s="12">
        <f>IF(AND(C14="F",M14&lt;O14,SUMIFS(Категории!$Z$5:$Z$11,Категории!$A$5:$A$11,B14)=1),1,0)</f>
        <v>0</v>
      </c>
      <c r="Q14" s="11">
        <f t="shared" si="6"/>
        <v>0</v>
      </c>
      <c r="R14" s="10">
        <f>IF(AND(P14=1,SUMIFS(Категории!$AA$5:$AA$11,Категории!$A$5:$A$11,B14)&gt;0),Q14/SUMIFS(Категории!$AA$5:$AA$11,Категории!$A$5:$A$11,B14),0)</f>
        <v>0</v>
      </c>
      <c r="S14" s="11">
        <f>R14*SUMIFS(Категории!$AB$5:$AB$11,Категории!$A$5:$A$11,B14)</f>
        <v>0</v>
      </c>
      <c r="T14" s="11">
        <f t="shared" si="7"/>
        <v>0</v>
      </c>
      <c r="U14" s="11">
        <f t="shared" si="8"/>
        <v>0</v>
      </c>
      <c r="V14" s="11">
        <f t="shared" si="9"/>
        <v>0</v>
      </c>
      <c r="W14" s="12">
        <f>IF(AND(C14="F",M14&lt;O14,SUMIFS(Категории!$AH$5:$AH$11,Категории!$A$5:$A$11,B14)=1),1,0)</f>
        <v>0</v>
      </c>
      <c r="X14" s="11">
        <f t="shared" si="10"/>
        <v>0</v>
      </c>
      <c r="Y14" s="10">
        <f>IF(AND(W14=1,SUMIFS(Категории!$AI$5:$AI$11,Категории!$A$5:$A$11,B14)&gt;0),X14/SUMIFS(Категории!$AI$5:$AI$11,Категории!$A$5:$A$11,B14),0)</f>
        <v>0</v>
      </c>
      <c r="Z14" s="11">
        <f>Y14*SUMIFS(Категории!$AJ$5:$AJ$11,Категории!$A$5:$A$11,B14)</f>
        <v>0</v>
      </c>
      <c r="AA14" s="11">
        <f t="shared" si="11"/>
        <v>0</v>
      </c>
      <c r="AB14" s="11">
        <f t="shared" si="12"/>
        <v>0</v>
      </c>
      <c r="AC14" s="11">
        <f t="shared" si="13"/>
        <v>0</v>
      </c>
      <c r="AD14" s="12">
        <f t="shared" si="14"/>
        <v>36</v>
      </c>
      <c r="AE14" s="12">
        <f t="shared" si="15"/>
        <v>44</v>
      </c>
      <c r="AF14" s="12">
        <f t="shared" si="16"/>
        <v>24</v>
      </c>
      <c r="AG14" s="12">
        <f t="shared" si="17"/>
        <v>32</v>
      </c>
    </row>
    <row r="15" spans="1:33" x14ac:dyDescent="0.3">
      <c r="A15" s="8" t="s">
        <v>72</v>
      </c>
      <c r="B15" s="8" t="s">
        <v>60</v>
      </c>
      <c r="C15" s="8" t="s">
        <v>61</v>
      </c>
      <c r="D15" s="9">
        <v>1850156.51</v>
      </c>
      <c r="E15" s="9">
        <v>259693.49</v>
      </c>
      <c r="F15" s="8">
        <v>2.8</v>
      </c>
      <c r="G15" s="8">
        <v>7</v>
      </c>
      <c r="H15" s="8">
        <v>1</v>
      </c>
      <c r="I15" s="8">
        <v>12</v>
      </c>
      <c r="J15" s="10">
        <f t="shared" si="0"/>
        <v>1</v>
      </c>
      <c r="K15" s="11">
        <f t="shared" si="1"/>
        <v>1850156.51</v>
      </c>
      <c r="L15" s="11">
        <f t="shared" si="2"/>
        <v>259693.49</v>
      </c>
      <c r="M15" s="11">
        <f t="shared" si="3"/>
        <v>2109850</v>
      </c>
      <c r="N15" s="11">
        <f t="shared" si="4"/>
        <v>2109850</v>
      </c>
      <c r="O15" s="11">
        <f t="shared" si="5"/>
        <v>2878288.9249999998</v>
      </c>
      <c r="P15" s="12">
        <f>IF(AND(C15="F",M15&lt;O15,SUMIFS(Категории!$Z$5:$Z$11,Категории!$A$5:$A$11,B15)=1),1,0)</f>
        <v>0</v>
      </c>
      <c r="Q15" s="11">
        <f t="shared" si="6"/>
        <v>0</v>
      </c>
      <c r="R15" s="10">
        <f>IF(AND(P15=1,SUMIFS(Категории!$AA$5:$AA$11,Категории!$A$5:$A$11,B15)&gt;0),Q15/SUMIFS(Категории!$AA$5:$AA$11,Категории!$A$5:$A$11,B15),0)</f>
        <v>0</v>
      </c>
      <c r="S15" s="11">
        <f>R15*SUMIFS(Категории!$AB$5:$AB$11,Категории!$A$5:$A$11,B15)</f>
        <v>0</v>
      </c>
      <c r="T15" s="11">
        <f t="shared" si="7"/>
        <v>0</v>
      </c>
      <c r="U15" s="11">
        <f t="shared" si="8"/>
        <v>0</v>
      </c>
      <c r="V15" s="11">
        <f t="shared" si="9"/>
        <v>0</v>
      </c>
      <c r="W15" s="12">
        <f>IF(AND(C15="F",M15&lt;O15,SUMIFS(Категории!$AH$5:$AH$11,Категории!$A$5:$A$11,B15)=1),1,0)</f>
        <v>0</v>
      </c>
      <c r="X15" s="11">
        <f t="shared" si="10"/>
        <v>0</v>
      </c>
      <c r="Y15" s="10">
        <f>IF(AND(W15=1,SUMIFS(Категории!$AI$5:$AI$11,Категории!$A$5:$A$11,B15)&gt;0),X15/SUMIFS(Категории!$AI$5:$AI$11,Категории!$A$5:$A$11,B15),0)</f>
        <v>0</v>
      </c>
      <c r="Z15" s="11">
        <f>Y15*SUMIFS(Категории!$AJ$5:$AJ$11,Категории!$A$5:$A$11,B15)</f>
        <v>0</v>
      </c>
      <c r="AA15" s="11">
        <f t="shared" si="11"/>
        <v>0</v>
      </c>
      <c r="AB15" s="11">
        <f t="shared" si="12"/>
        <v>0</v>
      </c>
      <c r="AC15" s="11">
        <f t="shared" si="13"/>
        <v>0</v>
      </c>
      <c r="AD15" s="12">
        <f t="shared" si="14"/>
        <v>4</v>
      </c>
      <c r="AE15" s="12">
        <f t="shared" si="15"/>
        <v>44</v>
      </c>
      <c r="AF15" s="12">
        <f t="shared" si="16"/>
        <v>2</v>
      </c>
      <c r="AG15" s="12">
        <f t="shared" si="17"/>
        <v>32</v>
      </c>
    </row>
    <row r="16" spans="1:33" x14ac:dyDescent="0.3">
      <c r="A16" s="8" t="s">
        <v>73</v>
      </c>
      <c r="B16" s="8" t="s">
        <v>60</v>
      </c>
      <c r="C16" s="8" t="s">
        <v>61</v>
      </c>
      <c r="D16" s="9">
        <v>2436811</v>
      </c>
      <c r="E16" s="9">
        <v>299266.98</v>
      </c>
      <c r="F16" s="8">
        <v>7.7</v>
      </c>
      <c r="G16" s="8">
        <v>9</v>
      </c>
      <c r="H16" s="8">
        <v>1</v>
      </c>
      <c r="I16" s="8">
        <v>12</v>
      </c>
      <c r="J16" s="10">
        <f t="shared" si="0"/>
        <v>1</v>
      </c>
      <c r="K16" s="11">
        <f t="shared" si="1"/>
        <v>2436811</v>
      </c>
      <c r="L16" s="11">
        <f t="shared" si="2"/>
        <v>299266.98</v>
      </c>
      <c r="M16" s="11">
        <f t="shared" si="3"/>
        <v>2736077.98</v>
      </c>
      <c r="N16" s="11">
        <f t="shared" si="4"/>
        <v>2736077.98</v>
      </c>
      <c r="O16" s="11">
        <f t="shared" si="5"/>
        <v>2878288.9249999998</v>
      </c>
      <c r="P16" s="12">
        <f>IF(AND(C16="F",M16&lt;O16,SUMIFS(Категории!$Z$5:$Z$11,Категории!$A$5:$A$11,B16)=1),1,0)</f>
        <v>0</v>
      </c>
      <c r="Q16" s="11">
        <f t="shared" si="6"/>
        <v>0</v>
      </c>
      <c r="R16" s="10">
        <f>IF(AND(P16=1,SUMIFS(Категории!$AA$5:$AA$11,Категории!$A$5:$A$11,B16)&gt;0),Q16/SUMIFS(Категории!$AA$5:$AA$11,Категории!$A$5:$A$11,B16),0)</f>
        <v>0</v>
      </c>
      <c r="S16" s="11">
        <f>R16*SUMIFS(Категории!$AB$5:$AB$11,Категории!$A$5:$A$11,B16)</f>
        <v>0</v>
      </c>
      <c r="T16" s="11">
        <f t="shared" si="7"/>
        <v>0</v>
      </c>
      <c r="U16" s="11">
        <f t="shared" si="8"/>
        <v>0</v>
      </c>
      <c r="V16" s="11">
        <f t="shared" si="9"/>
        <v>0</v>
      </c>
      <c r="W16" s="12">
        <f>IF(AND(C16="F",M16&lt;O16,SUMIFS(Категории!$AH$5:$AH$11,Категории!$A$5:$A$11,B16)=1),1,0)</f>
        <v>0</v>
      </c>
      <c r="X16" s="11">
        <f t="shared" si="10"/>
        <v>0</v>
      </c>
      <c r="Y16" s="10">
        <f>IF(AND(W16=1,SUMIFS(Категории!$AI$5:$AI$11,Категории!$A$5:$A$11,B16)&gt;0),X16/SUMIFS(Категории!$AI$5:$AI$11,Категории!$A$5:$A$11,B16),0)</f>
        <v>0</v>
      </c>
      <c r="Z16" s="11">
        <f>Y16*SUMIFS(Категории!$AJ$5:$AJ$11,Категории!$A$5:$A$11,B16)</f>
        <v>0</v>
      </c>
      <c r="AA16" s="11">
        <f t="shared" si="11"/>
        <v>0</v>
      </c>
      <c r="AB16" s="11">
        <f t="shared" si="12"/>
        <v>0</v>
      </c>
      <c r="AC16" s="11">
        <f t="shared" si="13"/>
        <v>0</v>
      </c>
      <c r="AD16" s="12">
        <f t="shared" si="14"/>
        <v>21</v>
      </c>
      <c r="AE16" s="12">
        <f t="shared" si="15"/>
        <v>44</v>
      </c>
      <c r="AF16" s="12">
        <f t="shared" si="16"/>
        <v>14</v>
      </c>
      <c r="AG16" s="12">
        <f t="shared" si="17"/>
        <v>32</v>
      </c>
    </row>
    <row r="17" spans="1:33" x14ac:dyDescent="0.3">
      <c r="A17" s="8" t="s">
        <v>74</v>
      </c>
      <c r="B17" s="8" t="s">
        <v>60</v>
      </c>
      <c r="C17" s="8" t="s">
        <v>66</v>
      </c>
      <c r="D17" s="9">
        <v>1315883.3400000001</v>
      </c>
      <c r="E17" s="9">
        <v>149299.24</v>
      </c>
      <c r="F17" s="8">
        <v>7.6</v>
      </c>
      <c r="G17" s="8">
        <v>8</v>
      </c>
      <c r="H17" s="8">
        <v>0.6</v>
      </c>
      <c r="I17" s="8">
        <v>12</v>
      </c>
      <c r="J17" s="10">
        <f t="shared" si="0"/>
        <v>0.6</v>
      </c>
      <c r="K17" s="11">
        <f t="shared" si="1"/>
        <v>2193138.9000000004</v>
      </c>
      <c r="L17" s="11">
        <f t="shared" si="2"/>
        <v>248832.06666666665</v>
      </c>
      <c r="M17" s="11">
        <f t="shared" si="3"/>
        <v>2441970.9666666668</v>
      </c>
      <c r="N17" s="11">
        <f t="shared" si="4"/>
        <v>1465182.58</v>
      </c>
      <c r="O17" s="11">
        <f t="shared" si="5"/>
        <v>2878288.9249999998</v>
      </c>
      <c r="P17" s="12">
        <f>IF(AND(C17="F",M17&lt;O17,SUMIFS(Категории!$Z$5:$Z$11,Категории!$A$5:$A$11,B17)=1),1,0)</f>
        <v>1</v>
      </c>
      <c r="Q17" s="11">
        <f t="shared" si="6"/>
        <v>436317.95833333302</v>
      </c>
      <c r="R17" s="10">
        <f>IF(AND(P17=1,SUMIFS(Категории!$AA$5:$AA$11,Категории!$A$5:$A$11,B17)&gt;0),Q17/SUMIFS(Категории!$AA$5:$AA$11,Категории!$A$5:$A$11,B17),0)</f>
        <v>0.11204439338174871</v>
      </c>
      <c r="S17" s="11">
        <f>R17*SUMIFS(Категории!$AB$5:$AB$11,Категории!$A$5:$A$11,B17)</f>
        <v>163887.66586834047</v>
      </c>
      <c r="T17" s="11">
        <f t="shared" si="7"/>
        <v>98332.599521004275</v>
      </c>
      <c r="U17" s="11">
        <f t="shared" si="8"/>
        <v>29499.77985630128</v>
      </c>
      <c r="V17" s="11">
        <f t="shared" si="9"/>
        <v>127832.37937730555</v>
      </c>
      <c r="W17" s="12">
        <f>IF(AND(C17="F",M17&lt;O17,SUMIFS(Категории!$AH$5:$AH$11,Категории!$A$5:$A$11,B17)=1),1,0)</f>
        <v>1</v>
      </c>
      <c r="X17" s="11">
        <f t="shared" si="10"/>
        <v>436317.95833333302</v>
      </c>
      <c r="Y17" s="10">
        <f>IF(AND(W17=1,SUMIFS(Категории!$AI$5:$AI$11,Категории!$A$5:$A$11,B17)&gt;0),X17/SUMIFS(Категории!$AI$5:$AI$11,Категории!$A$5:$A$11,B17),0)</f>
        <v>0.11204439338174871</v>
      </c>
      <c r="Z17" s="11">
        <f>Y17*SUMIFS(Категории!$AJ$5:$AJ$11,Категории!$A$5:$A$11,B17)</f>
        <v>364729.09711153747</v>
      </c>
      <c r="AA17" s="11">
        <f t="shared" si="11"/>
        <v>218837.45826692248</v>
      </c>
      <c r="AB17" s="11">
        <f t="shared" si="12"/>
        <v>65651.237480076743</v>
      </c>
      <c r="AC17" s="11">
        <f t="shared" si="13"/>
        <v>284488.69574699923</v>
      </c>
      <c r="AD17" s="12">
        <f t="shared" si="14"/>
        <v>10</v>
      </c>
      <c r="AE17" s="12">
        <f t="shared" si="15"/>
        <v>44</v>
      </c>
      <c r="AF17" s="12">
        <f t="shared" si="16"/>
        <v>4</v>
      </c>
      <c r="AG17" s="12">
        <f t="shared" si="17"/>
        <v>12</v>
      </c>
    </row>
    <row r="18" spans="1:33" x14ac:dyDescent="0.3">
      <c r="A18" s="8" t="s">
        <v>75</v>
      </c>
      <c r="B18" s="8" t="s">
        <v>60</v>
      </c>
      <c r="C18" s="8" t="s">
        <v>61</v>
      </c>
      <c r="D18" s="9">
        <v>3286670.12</v>
      </c>
      <c r="E18" s="9">
        <v>339864.87</v>
      </c>
      <c r="F18" s="8">
        <v>7.8</v>
      </c>
      <c r="G18" s="8">
        <v>11</v>
      </c>
      <c r="H18" s="8">
        <v>1</v>
      </c>
      <c r="I18" s="8">
        <v>12</v>
      </c>
      <c r="J18" s="10">
        <f t="shared" si="0"/>
        <v>1</v>
      </c>
      <c r="K18" s="11">
        <f t="shared" si="1"/>
        <v>3286670.12</v>
      </c>
      <c r="L18" s="11">
        <f t="shared" si="2"/>
        <v>339864.87</v>
      </c>
      <c r="M18" s="11">
        <f t="shared" si="3"/>
        <v>3626534.99</v>
      </c>
      <c r="N18" s="11">
        <f t="shared" si="4"/>
        <v>3626534.99</v>
      </c>
      <c r="O18" s="11">
        <f t="shared" si="5"/>
        <v>2878288.9249999998</v>
      </c>
      <c r="P18" s="12">
        <f>IF(AND(C18="F",M18&lt;O18,SUMIFS(Категории!$Z$5:$Z$11,Категории!$A$5:$A$11,B18)=1),1,0)</f>
        <v>0</v>
      </c>
      <c r="Q18" s="11">
        <f t="shared" si="6"/>
        <v>0</v>
      </c>
      <c r="R18" s="10">
        <f>IF(AND(P18=1,SUMIFS(Категории!$AA$5:$AA$11,Категории!$A$5:$A$11,B18)&gt;0),Q18/SUMIFS(Категории!$AA$5:$AA$11,Категории!$A$5:$A$11,B18),0)</f>
        <v>0</v>
      </c>
      <c r="S18" s="11">
        <f>R18*SUMIFS(Категории!$AB$5:$AB$11,Категории!$A$5:$A$11,B18)</f>
        <v>0</v>
      </c>
      <c r="T18" s="11">
        <f t="shared" si="7"/>
        <v>0</v>
      </c>
      <c r="U18" s="11">
        <f t="shared" si="8"/>
        <v>0</v>
      </c>
      <c r="V18" s="11">
        <f t="shared" si="9"/>
        <v>0</v>
      </c>
      <c r="W18" s="12">
        <f>IF(AND(C18="F",M18&lt;O18,SUMIFS(Категории!$AH$5:$AH$11,Категории!$A$5:$A$11,B18)=1),1,0)</f>
        <v>0</v>
      </c>
      <c r="X18" s="11">
        <f t="shared" si="10"/>
        <v>0</v>
      </c>
      <c r="Y18" s="10">
        <f>IF(AND(W18=1,SUMIFS(Категории!$AI$5:$AI$11,Категории!$A$5:$A$11,B18)&gt;0),X18/SUMIFS(Категории!$AI$5:$AI$11,Категории!$A$5:$A$11,B18),0)</f>
        <v>0</v>
      </c>
      <c r="Z18" s="11">
        <f>Y18*SUMIFS(Категории!$AJ$5:$AJ$11,Категории!$A$5:$A$11,B18)</f>
        <v>0</v>
      </c>
      <c r="AA18" s="11">
        <f t="shared" si="11"/>
        <v>0</v>
      </c>
      <c r="AB18" s="11">
        <f t="shared" si="12"/>
        <v>0</v>
      </c>
      <c r="AC18" s="11">
        <f t="shared" si="13"/>
        <v>0</v>
      </c>
      <c r="AD18" s="12">
        <f t="shared" si="14"/>
        <v>39</v>
      </c>
      <c r="AE18" s="12">
        <f t="shared" si="15"/>
        <v>44</v>
      </c>
      <c r="AF18" s="12">
        <f t="shared" si="16"/>
        <v>27</v>
      </c>
      <c r="AG18" s="12">
        <f t="shared" si="17"/>
        <v>32</v>
      </c>
    </row>
    <row r="19" spans="1:33" x14ac:dyDescent="0.3">
      <c r="A19" s="8" t="s">
        <v>76</v>
      </c>
      <c r="B19" s="8" t="s">
        <v>60</v>
      </c>
      <c r="C19" s="8" t="s">
        <v>66</v>
      </c>
      <c r="D19" s="9">
        <v>2538252.9300000002</v>
      </c>
      <c r="E19" s="9">
        <v>330092</v>
      </c>
      <c r="F19" s="8">
        <v>9.9</v>
      </c>
      <c r="G19" s="8">
        <v>10</v>
      </c>
      <c r="H19" s="8">
        <v>1</v>
      </c>
      <c r="I19" s="8">
        <v>12</v>
      </c>
      <c r="J19" s="10">
        <f t="shared" si="0"/>
        <v>1</v>
      </c>
      <c r="K19" s="11">
        <f t="shared" si="1"/>
        <v>2538252.9300000002</v>
      </c>
      <c r="L19" s="11">
        <f t="shared" si="2"/>
        <v>330092</v>
      </c>
      <c r="M19" s="11">
        <f t="shared" si="3"/>
        <v>2868344.93</v>
      </c>
      <c r="N19" s="11">
        <f t="shared" si="4"/>
        <v>2868344.93</v>
      </c>
      <c r="O19" s="11">
        <f t="shared" si="5"/>
        <v>2878288.9249999998</v>
      </c>
      <c r="P19" s="12">
        <f>IF(AND(C19="F",M19&lt;O19,SUMIFS(Категории!$Z$5:$Z$11,Категории!$A$5:$A$11,B19)=1),1,0)</f>
        <v>1</v>
      </c>
      <c r="Q19" s="11">
        <f t="shared" si="6"/>
        <v>9943.9949999996461</v>
      </c>
      <c r="R19" s="10">
        <f>IF(AND(P19=1,SUMIFS(Категории!$AA$5:$AA$11,Категории!$A$5:$A$11,B19)&gt;0),Q19/SUMIFS(Категории!$AA$5:$AA$11,Категории!$A$5:$A$11,B19),0)</f>
        <v>2.5535710054705404E-3</v>
      </c>
      <c r="S19" s="11">
        <f>R19*SUMIFS(Категории!$AB$5:$AB$11,Категории!$A$5:$A$11,B19)</f>
        <v>3735.115868669684</v>
      </c>
      <c r="T19" s="11">
        <f t="shared" si="7"/>
        <v>3735.115868669684</v>
      </c>
      <c r="U19" s="11">
        <f t="shared" si="8"/>
        <v>1120.5347606009052</v>
      </c>
      <c r="V19" s="11">
        <f t="shared" si="9"/>
        <v>4855.650629270589</v>
      </c>
      <c r="W19" s="12">
        <f>IF(AND(C19="F",M19&lt;O19,SUMIFS(Категории!$AH$5:$AH$11,Категории!$A$5:$A$11,B19)=1),1,0)</f>
        <v>1</v>
      </c>
      <c r="X19" s="11">
        <f t="shared" si="10"/>
        <v>9943.9949999996461</v>
      </c>
      <c r="Y19" s="10">
        <f>IF(AND(W19=1,SUMIFS(Категории!$AI$5:$AI$11,Категории!$A$5:$A$11,B19)&gt;0),X19/SUMIFS(Категории!$AI$5:$AI$11,Категории!$A$5:$A$11,B19),0)</f>
        <v>2.5535710054705404E-3</v>
      </c>
      <c r="Z19" s="11">
        <f>Y19*SUMIFS(Категории!$AJ$5:$AJ$11,Категории!$A$5:$A$11,B19)</f>
        <v>8312.4341979541095</v>
      </c>
      <c r="AA19" s="11">
        <f t="shared" si="11"/>
        <v>8312.4341979541095</v>
      </c>
      <c r="AB19" s="11">
        <f t="shared" si="12"/>
        <v>2493.7302593862328</v>
      </c>
      <c r="AC19" s="11">
        <f t="shared" si="13"/>
        <v>10806.164457340343</v>
      </c>
      <c r="AD19" s="12">
        <f t="shared" si="14"/>
        <v>22</v>
      </c>
      <c r="AE19" s="12">
        <f t="shared" si="15"/>
        <v>44</v>
      </c>
      <c r="AF19" s="12">
        <f t="shared" si="16"/>
        <v>8</v>
      </c>
      <c r="AG19" s="12">
        <f t="shared" si="17"/>
        <v>12</v>
      </c>
    </row>
    <row r="20" spans="1:33" x14ac:dyDescent="0.3">
      <c r="A20" s="8" t="s">
        <v>77</v>
      </c>
      <c r="B20" s="8" t="s">
        <v>60</v>
      </c>
      <c r="C20" s="8" t="s">
        <v>66</v>
      </c>
      <c r="D20" s="9">
        <v>2292715.6800000002</v>
      </c>
      <c r="E20" s="9">
        <v>212982.75</v>
      </c>
      <c r="F20" s="8">
        <v>7.2</v>
      </c>
      <c r="G20" s="8">
        <v>9</v>
      </c>
      <c r="H20" s="8">
        <v>1</v>
      </c>
      <c r="I20" s="8">
        <v>12</v>
      </c>
      <c r="J20" s="10">
        <f t="shared" si="0"/>
        <v>1</v>
      </c>
      <c r="K20" s="11">
        <f t="shared" si="1"/>
        <v>2292715.6800000002</v>
      </c>
      <c r="L20" s="11">
        <f t="shared" si="2"/>
        <v>212982.75</v>
      </c>
      <c r="M20" s="11">
        <f t="shared" si="3"/>
        <v>2505698.4300000002</v>
      </c>
      <c r="N20" s="11">
        <f t="shared" si="4"/>
        <v>2505698.4300000002</v>
      </c>
      <c r="O20" s="11">
        <f t="shared" si="5"/>
        <v>2878288.9249999998</v>
      </c>
      <c r="P20" s="12">
        <f>IF(AND(C20="F",M20&lt;O20,SUMIFS(Категории!$Z$5:$Z$11,Категории!$A$5:$A$11,B20)=1),1,0)</f>
        <v>1</v>
      </c>
      <c r="Q20" s="11">
        <f t="shared" si="6"/>
        <v>372590.49499999965</v>
      </c>
      <c r="R20" s="10">
        <f>IF(AND(P20=1,SUMIFS(Категории!$AA$5:$AA$11,Категории!$A$5:$A$11,B20)&gt;0),Q20/SUMIFS(Категории!$AA$5:$AA$11,Категории!$A$5:$A$11,B20),0)</f>
        <v>9.5679481430345589E-2</v>
      </c>
      <c r="S20" s="11">
        <f>R20*SUMIFS(Категории!$AB$5:$AB$11,Категории!$A$5:$A$11,B20)</f>
        <v>139950.66071433472</v>
      </c>
      <c r="T20" s="11">
        <f t="shared" si="7"/>
        <v>139950.66071433472</v>
      </c>
      <c r="U20" s="11">
        <f t="shared" si="8"/>
        <v>41985.198214300413</v>
      </c>
      <c r="V20" s="11">
        <f t="shared" si="9"/>
        <v>181935.85892863513</v>
      </c>
      <c r="W20" s="12">
        <f>IF(AND(C20="F",M20&lt;O20,SUMIFS(Категории!$AH$5:$AH$11,Категории!$A$5:$A$11,B20)=1),1,0)</f>
        <v>1</v>
      </c>
      <c r="X20" s="11">
        <f t="shared" si="10"/>
        <v>372590.49499999965</v>
      </c>
      <c r="Y20" s="10">
        <f>IF(AND(W20=1,SUMIFS(Категории!$AI$5:$AI$11,Категории!$A$5:$A$11,B20)&gt;0),X20/SUMIFS(Категории!$AI$5:$AI$11,Категории!$A$5:$A$11,B20),0)</f>
        <v>9.5679481430345589E-2</v>
      </c>
      <c r="Z20" s="11">
        <f>Y20*SUMIFS(Категории!$AJ$5:$AJ$11,Категории!$A$5:$A$11,B20)</f>
        <v>311457.71618657868</v>
      </c>
      <c r="AA20" s="11">
        <f t="shared" si="11"/>
        <v>311457.71618657868</v>
      </c>
      <c r="AB20" s="11">
        <f t="shared" si="12"/>
        <v>93437.3148559736</v>
      </c>
      <c r="AC20" s="11">
        <f t="shared" si="13"/>
        <v>404895.03104255226</v>
      </c>
      <c r="AD20" s="12">
        <f t="shared" si="14"/>
        <v>14</v>
      </c>
      <c r="AE20" s="12">
        <f t="shared" si="15"/>
        <v>44</v>
      </c>
      <c r="AF20" s="12">
        <f t="shared" si="16"/>
        <v>6</v>
      </c>
      <c r="AG20" s="12">
        <f t="shared" si="17"/>
        <v>12</v>
      </c>
    </row>
    <row r="21" spans="1:33" x14ac:dyDescent="0.3">
      <c r="A21" s="8" t="s">
        <v>78</v>
      </c>
      <c r="B21" s="8" t="s">
        <v>60</v>
      </c>
      <c r="C21" s="8" t="s">
        <v>66</v>
      </c>
      <c r="D21" s="9">
        <v>1738016.55</v>
      </c>
      <c r="E21" s="9">
        <v>208500.34</v>
      </c>
      <c r="F21" s="8">
        <v>0.6</v>
      </c>
      <c r="G21" s="8">
        <v>7</v>
      </c>
      <c r="H21" s="8">
        <v>1</v>
      </c>
      <c r="I21" s="8">
        <v>12</v>
      </c>
      <c r="J21" s="10">
        <f t="shared" si="0"/>
        <v>1</v>
      </c>
      <c r="K21" s="11">
        <f t="shared" si="1"/>
        <v>1738016.55</v>
      </c>
      <c r="L21" s="11">
        <f t="shared" si="2"/>
        <v>208500.34</v>
      </c>
      <c r="M21" s="11">
        <f t="shared" si="3"/>
        <v>1946516.8900000001</v>
      </c>
      <c r="N21" s="11">
        <f t="shared" si="4"/>
        <v>1946516.8900000001</v>
      </c>
      <c r="O21" s="11">
        <f t="shared" si="5"/>
        <v>2878288.9249999998</v>
      </c>
      <c r="P21" s="12">
        <f>IF(AND(C21="F",M21&lt;O21,SUMIFS(Категории!$Z$5:$Z$11,Категории!$A$5:$A$11,B21)=1),1,0)</f>
        <v>1</v>
      </c>
      <c r="Q21" s="11">
        <f t="shared" si="6"/>
        <v>931772.03499999968</v>
      </c>
      <c r="R21" s="10">
        <f>IF(AND(P21=1,SUMIFS(Категории!$AA$5:$AA$11,Категории!$A$5:$A$11,B21)&gt;0),Q21/SUMIFS(Категории!$AA$5:$AA$11,Категории!$A$5:$A$11,B21),0)</f>
        <v>0.23927466297844735</v>
      </c>
      <c r="S21" s="11">
        <f>R21*SUMIFS(Категории!$AB$5:$AB$11,Категории!$A$5:$A$11,B21)</f>
        <v>349987.75782884716</v>
      </c>
      <c r="T21" s="11">
        <f t="shared" si="7"/>
        <v>349987.75782884716</v>
      </c>
      <c r="U21" s="11">
        <f t="shared" si="8"/>
        <v>104996.32734865414</v>
      </c>
      <c r="V21" s="11">
        <f t="shared" si="9"/>
        <v>454984.08517750131</v>
      </c>
      <c r="W21" s="12">
        <f>IF(AND(C21="F",M21&lt;O21,SUMIFS(Категории!$AH$5:$AH$11,Категории!$A$5:$A$11,B21)=1),1,0)</f>
        <v>1</v>
      </c>
      <c r="X21" s="11">
        <f t="shared" si="10"/>
        <v>931772.03499999968</v>
      </c>
      <c r="Y21" s="10">
        <f>IF(AND(W21=1,SUMIFS(Категории!$AI$5:$AI$11,Категории!$A$5:$A$11,B21)&gt;0),X21/SUMIFS(Категории!$AI$5:$AI$11,Категории!$A$5:$A$11,B21),0)</f>
        <v>0.23927466297844735</v>
      </c>
      <c r="Z21" s="11">
        <f>Y21*SUMIFS(Категории!$AJ$5:$AJ$11,Категории!$A$5:$A$11,B21)</f>
        <v>778891.55499691691</v>
      </c>
      <c r="AA21" s="11">
        <f t="shared" si="11"/>
        <v>778891.55499691691</v>
      </c>
      <c r="AB21" s="11">
        <f t="shared" si="12"/>
        <v>233667.46649907506</v>
      </c>
      <c r="AC21" s="11">
        <f t="shared" si="13"/>
        <v>1012559.021495992</v>
      </c>
      <c r="AD21" s="12">
        <f t="shared" si="14"/>
        <v>1</v>
      </c>
      <c r="AE21" s="12">
        <f t="shared" si="15"/>
        <v>44</v>
      </c>
      <c r="AF21" s="12">
        <f t="shared" si="16"/>
        <v>1</v>
      </c>
      <c r="AG21" s="12">
        <f t="shared" si="17"/>
        <v>12</v>
      </c>
    </row>
    <row r="22" spans="1:33" x14ac:dyDescent="0.3">
      <c r="A22" s="8" t="s">
        <v>79</v>
      </c>
      <c r="B22" s="8" t="s">
        <v>60</v>
      </c>
      <c r="C22" s="8" t="s">
        <v>66</v>
      </c>
      <c r="D22" s="9">
        <v>2758672.49</v>
      </c>
      <c r="E22" s="9">
        <v>396878.36</v>
      </c>
      <c r="F22" s="8">
        <v>10.199999999999999</v>
      </c>
      <c r="G22" s="8">
        <v>10</v>
      </c>
      <c r="H22" s="8">
        <v>1</v>
      </c>
      <c r="I22" s="8">
        <v>12</v>
      </c>
      <c r="J22" s="10">
        <f t="shared" si="0"/>
        <v>1</v>
      </c>
      <c r="K22" s="11">
        <f t="shared" si="1"/>
        <v>2758672.49</v>
      </c>
      <c r="L22" s="11">
        <f t="shared" si="2"/>
        <v>396878.36</v>
      </c>
      <c r="M22" s="11">
        <f t="shared" si="3"/>
        <v>3155550.85</v>
      </c>
      <c r="N22" s="11">
        <f t="shared" si="4"/>
        <v>3155550.85</v>
      </c>
      <c r="O22" s="11">
        <f t="shared" si="5"/>
        <v>2878288.9249999998</v>
      </c>
      <c r="P22" s="12">
        <f>IF(AND(C22="F",M22&lt;O22,SUMIFS(Категории!$Z$5:$Z$11,Категории!$A$5:$A$11,B22)=1),1,0)</f>
        <v>0</v>
      </c>
      <c r="Q22" s="11">
        <f t="shared" si="6"/>
        <v>0</v>
      </c>
      <c r="R22" s="10">
        <f>IF(AND(P22=1,SUMIFS(Категории!$AA$5:$AA$11,Категории!$A$5:$A$11,B22)&gt;0),Q22/SUMIFS(Категории!$AA$5:$AA$11,Категории!$A$5:$A$11,B22),0)</f>
        <v>0</v>
      </c>
      <c r="S22" s="11">
        <f>R22*SUMIFS(Категории!$AB$5:$AB$11,Категории!$A$5:$A$11,B22)</f>
        <v>0</v>
      </c>
      <c r="T22" s="11">
        <f t="shared" si="7"/>
        <v>0</v>
      </c>
      <c r="U22" s="11">
        <f t="shared" si="8"/>
        <v>0</v>
      </c>
      <c r="V22" s="11">
        <f t="shared" si="9"/>
        <v>0</v>
      </c>
      <c r="W22" s="12">
        <f>IF(AND(C22="F",M22&lt;O22,SUMIFS(Категории!$AH$5:$AH$11,Категории!$A$5:$A$11,B22)=1),1,0)</f>
        <v>0</v>
      </c>
      <c r="X22" s="11">
        <f t="shared" si="10"/>
        <v>0</v>
      </c>
      <c r="Y22" s="10">
        <f>IF(AND(W22=1,SUMIFS(Категории!$AI$5:$AI$11,Категории!$A$5:$A$11,B22)&gt;0),X22/SUMIFS(Категории!$AI$5:$AI$11,Категории!$A$5:$A$11,B22),0)</f>
        <v>0</v>
      </c>
      <c r="Z22" s="11">
        <f>Y22*SUMIFS(Категории!$AJ$5:$AJ$11,Категории!$A$5:$A$11,B22)</f>
        <v>0</v>
      </c>
      <c r="AA22" s="11">
        <f t="shared" si="11"/>
        <v>0</v>
      </c>
      <c r="AB22" s="11">
        <f t="shared" si="12"/>
        <v>0</v>
      </c>
      <c r="AC22" s="11">
        <f t="shared" si="13"/>
        <v>0</v>
      </c>
      <c r="AD22" s="12">
        <f t="shared" si="14"/>
        <v>29</v>
      </c>
      <c r="AE22" s="12">
        <f t="shared" si="15"/>
        <v>44</v>
      </c>
      <c r="AF22" s="12">
        <f t="shared" si="16"/>
        <v>10</v>
      </c>
      <c r="AG22" s="12">
        <f t="shared" si="17"/>
        <v>12</v>
      </c>
    </row>
    <row r="23" spans="1:33" x14ac:dyDescent="0.3">
      <c r="A23" s="8" t="s">
        <v>80</v>
      </c>
      <c r="B23" s="8" t="s">
        <v>60</v>
      </c>
      <c r="C23" s="8" t="s">
        <v>66</v>
      </c>
      <c r="D23" s="9">
        <v>2842767.41</v>
      </c>
      <c r="E23" s="9">
        <v>328409.48</v>
      </c>
      <c r="F23" s="8">
        <v>11.6</v>
      </c>
      <c r="G23" s="8">
        <v>11</v>
      </c>
      <c r="H23" s="8">
        <v>1</v>
      </c>
      <c r="I23" s="8">
        <v>12</v>
      </c>
      <c r="J23" s="10">
        <f t="shared" si="0"/>
        <v>1</v>
      </c>
      <c r="K23" s="11">
        <f t="shared" si="1"/>
        <v>2842767.41</v>
      </c>
      <c r="L23" s="11">
        <f t="shared" si="2"/>
        <v>328409.48</v>
      </c>
      <c r="M23" s="11">
        <f t="shared" si="3"/>
        <v>3171176.89</v>
      </c>
      <c r="N23" s="11">
        <f t="shared" si="4"/>
        <v>3171176.89</v>
      </c>
      <c r="O23" s="11">
        <f t="shared" si="5"/>
        <v>2878288.9249999998</v>
      </c>
      <c r="P23" s="12">
        <f>IF(AND(C23="F",M23&lt;O23,SUMIFS(Категории!$Z$5:$Z$11,Категории!$A$5:$A$11,B23)=1),1,0)</f>
        <v>0</v>
      </c>
      <c r="Q23" s="11">
        <f t="shared" si="6"/>
        <v>0</v>
      </c>
      <c r="R23" s="10">
        <f>IF(AND(P23=1,SUMIFS(Категории!$AA$5:$AA$11,Категории!$A$5:$A$11,B23)&gt;0),Q23/SUMIFS(Категории!$AA$5:$AA$11,Категории!$A$5:$A$11,B23),0)</f>
        <v>0</v>
      </c>
      <c r="S23" s="11">
        <f>R23*SUMIFS(Категории!$AB$5:$AB$11,Категории!$A$5:$A$11,B23)</f>
        <v>0</v>
      </c>
      <c r="T23" s="11">
        <f t="shared" si="7"/>
        <v>0</v>
      </c>
      <c r="U23" s="11">
        <f t="shared" si="8"/>
        <v>0</v>
      </c>
      <c r="V23" s="11">
        <f t="shared" si="9"/>
        <v>0</v>
      </c>
      <c r="W23" s="12">
        <f>IF(AND(C23="F",M23&lt;O23,SUMIFS(Категории!$AH$5:$AH$11,Категории!$A$5:$A$11,B23)=1),1,0)</f>
        <v>0</v>
      </c>
      <c r="X23" s="11">
        <f t="shared" si="10"/>
        <v>0</v>
      </c>
      <c r="Y23" s="10">
        <f>IF(AND(W23=1,SUMIFS(Категории!$AI$5:$AI$11,Категории!$A$5:$A$11,B23)&gt;0),X23/SUMIFS(Категории!$AI$5:$AI$11,Категории!$A$5:$A$11,B23),0)</f>
        <v>0</v>
      </c>
      <c r="Z23" s="11">
        <f>Y23*SUMIFS(Категории!$AJ$5:$AJ$11,Категории!$A$5:$A$11,B23)</f>
        <v>0</v>
      </c>
      <c r="AA23" s="11">
        <f t="shared" si="11"/>
        <v>0</v>
      </c>
      <c r="AB23" s="11">
        <f t="shared" si="12"/>
        <v>0</v>
      </c>
      <c r="AC23" s="11">
        <f t="shared" si="13"/>
        <v>0</v>
      </c>
      <c r="AD23" s="12">
        <f t="shared" si="14"/>
        <v>30</v>
      </c>
      <c r="AE23" s="12">
        <f t="shared" si="15"/>
        <v>44</v>
      </c>
      <c r="AF23" s="12">
        <f t="shared" si="16"/>
        <v>11</v>
      </c>
      <c r="AG23" s="12">
        <f t="shared" si="17"/>
        <v>12</v>
      </c>
    </row>
    <row r="24" spans="1:33" x14ac:dyDescent="0.3">
      <c r="A24" s="8" t="s">
        <v>81</v>
      </c>
      <c r="B24" s="8" t="s">
        <v>60</v>
      </c>
      <c r="C24" s="8" t="s">
        <v>61</v>
      </c>
      <c r="D24" s="9">
        <v>3048048</v>
      </c>
      <c r="E24" s="9">
        <v>333524.39</v>
      </c>
      <c r="F24" s="8">
        <v>9.6</v>
      </c>
      <c r="G24" s="8">
        <v>10</v>
      </c>
      <c r="H24" s="8">
        <v>1</v>
      </c>
      <c r="I24" s="8">
        <v>12</v>
      </c>
      <c r="J24" s="10">
        <f t="shared" si="0"/>
        <v>1</v>
      </c>
      <c r="K24" s="11">
        <f t="shared" si="1"/>
        <v>3048048</v>
      </c>
      <c r="L24" s="11">
        <f t="shared" si="2"/>
        <v>333524.39</v>
      </c>
      <c r="M24" s="11">
        <f t="shared" si="3"/>
        <v>3381572.39</v>
      </c>
      <c r="N24" s="11">
        <f t="shared" si="4"/>
        <v>3381572.39</v>
      </c>
      <c r="O24" s="11">
        <f t="shared" si="5"/>
        <v>2878288.9249999998</v>
      </c>
      <c r="P24" s="12">
        <f>IF(AND(C24="F",M24&lt;O24,SUMIFS(Категории!$Z$5:$Z$11,Категории!$A$5:$A$11,B24)=1),1,0)</f>
        <v>0</v>
      </c>
      <c r="Q24" s="11">
        <f t="shared" si="6"/>
        <v>0</v>
      </c>
      <c r="R24" s="10">
        <f>IF(AND(P24=1,SUMIFS(Категории!$AA$5:$AA$11,Категории!$A$5:$A$11,B24)&gt;0),Q24/SUMIFS(Категории!$AA$5:$AA$11,Категории!$A$5:$A$11,B24),0)</f>
        <v>0</v>
      </c>
      <c r="S24" s="11">
        <f>R24*SUMIFS(Категории!$AB$5:$AB$11,Категории!$A$5:$A$11,B24)</f>
        <v>0</v>
      </c>
      <c r="T24" s="11">
        <f t="shared" si="7"/>
        <v>0</v>
      </c>
      <c r="U24" s="11">
        <f t="shared" si="8"/>
        <v>0</v>
      </c>
      <c r="V24" s="11">
        <f t="shared" si="9"/>
        <v>0</v>
      </c>
      <c r="W24" s="12">
        <f>IF(AND(C24="F",M24&lt;O24,SUMIFS(Категории!$AH$5:$AH$11,Категории!$A$5:$A$11,B24)=1),1,0)</f>
        <v>0</v>
      </c>
      <c r="X24" s="11">
        <f t="shared" si="10"/>
        <v>0</v>
      </c>
      <c r="Y24" s="10">
        <f>IF(AND(W24=1,SUMIFS(Категории!$AI$5:$AI$11,Категории!$A$5:$A$11,B24)&gt;0),X24/SUMIFS(Категории!$AI$5:$AI$11,Категории!$A$5:$A$11,B24),0)</f>
        <v>0</v>
      </c>
      <c r="Z24" s="11">
        <f>Y24*SUMIFS(Категории!$AJ$5:$AJ$11,Категории!$A$5:$A$11,B24)</f>
        <v>0</v>
      </c>
      <c r="AA24" s="11">
        <f t="shared" si="11"/>
        <v>0</v>
      </c>
      <c r="AB24" s="11">
        <f t="shared" si="12"/>
        <v>0</v>
      </c>
      <c r="AC24" s="11">
        <f t="shared" si="13"/>
        <v>0</v>
      </c>
      <c r="AD24" s="12">
        <f t="shared" si="14"/>
        <v>35</v>
      </c>
      <c r="AE24" s="12">
        <f t="shared" si="15"/>
        <v>44</v>
      </c>
      <c r="AF24" s="12">
        <f t="shared" si="16"/>
        <v>23</v>
      </c>
      <c r="AG24" s="12">
        <f t="shared" si="17"/>
        <v>32</v>
      </c>
    </row>
    <row r="25" spans="1:33" x14ac:dyDescent="0.3">
      <c r="A25" s="8" t="s">
        <v>82</v>
      </c>
      <c r="B25" s="8" t="s">
        <v>60</v>
      </c>
      <c r="C25" s="8" t="s">
        <v>61</v>
      </c>
      <c r="D25" s="9">
        <v>2095461.74</v>
      </c>
      <c r="E25" s="9">
        <v>220307.78</v>
      </c>
      <c r="F25" s="8">
        <v>5.9</v>
      </c>
      <c r="G25" s="8">
        <v>7</v>
      </c>
      <c r="H25" s="8">
        <v>1</v>
      </c>
      <c r="I25" s="8">
        <v>12</v>
      </c>
      <c r="J25" s="10">
        <f t="shared" si="0"/>
        <v>1</v>
      </c>
      <c r="K25" s="11">
        <f t="shared" si="1"/>
        <v>2095461.74</v>
      </c>
      <c r="L25" s="11">
        <f t="shared" si="2"/>
        <v>220307.78</v>
      </c>
      <c r="M25" s="11">
        <f t="shared" si="3"/>
        <v>2315769.52</v>
      </c>
      <c r="N25" s="11">
        <f t="shared" si="4"/>
        <v>2315769.52</v>
      </c>
      <c r="O25" s="11">
        <f t="shared" si="5"/>
        <v>2878288.9249999998</v>
      </c>
      <c r="P25" s="12">
        <f>IF(AND(C25="F",M25&lt;O25,SUMIFS(Категории!$Z$5:$Z$11,Категории!$A$5:$A$11,B25)=1),1,0)</f>
        <v>0</v>
      </c>
      <c r="Q25" s="11">
        <f t="shared" si="6"/>
        <v>0</v>
      </c>
      <c r="R25" s="10">
        <f>IF(AND(P25=1,SUMIFS(Категории!$AA$5:$AA$11,Категории!$A$5:$A$11,B25)&gt;0),Q25/SUMIFS(Категории!$AA$5:$AA$11,Категории!$A$5:$A$11,B25),0)</f>
        <v>0</v>
      </c>
      <c r="S25" s="11">
        <f>R25*SUMIFS(Категории!$AB$5:$AB$11,Категории!$A$5:$A$11,B25)</f>
        <v>0</v>
      </c>
      <c r="T25" s="11">
        <f t="shared" si="7"/>
        <v>0</v>
      </c>
      <c r="U25" s="11">
        <f t="shared" si="8"/>
        <v>0</v>
      </c>
      <c r="V25" s="11">
        <f t="shared" si="9"/>
        <v>0</v>
      </c>
      <c r="W25" s="12">
        <f>IF(AND(C25="F",M25&lt;O25,SUMIFS(Категории!$AH$5:$AH$11,Категории!$A$5:$A$11,B25)=1),1,0)</f>
        <v>0</v>
      </c>
      <c r="X25" s="11">
        <f t="shared" si="10"/>
        <v>0</v>
      </c>
      <c r="Y25" s="10">
        <f>IF(AND(W25=1,SUMIFS(Категории!$AI$5:$AI$11,Категории!$A$5:$A$11,B25)&gt;0),X25/SUMIFS(Категории!$AI$5:$AI$11,Категории!$A$5:$A$11,B25),0)</f>
        <v>0</v>
      </c>
      <c r="Z25" s="11">
        <f>Y25*SUMIFS(Категории!$AJ$5:$AJ$11,Категории!$A$5:$A$11,B25)</f>
        <v>0</v>
      </c>
      <c r="AA25" s="11">
        <f t="shared" si="11"/>
        <v>0</v>
      </c>
      <c r="AB25" s="11">
        <f t="shared" si="12"/>
        <v>0</v>
      </c>
      <c r="AC25" s="11">
        <f t="shared" si="13"/>
        <v>0</v>
      </c>
      <c r="AD25" s="12">
        <f t="shared" si="14"/>
        <v>9</v>
      </c>
      <c r="AE25" s="12">
        <f t="shared" si="15"/>
        <v>44</v>
      </c>
      <c r="AF25" s="12">
        <f t="shared" si="16"/>
        <v>6</v>
      </c>
      <c r="AG25" s="12">
        <f t="shared" si="17"/>
        <v>32</v>
      </c>
    </row>
    <row r="26" spans="1:33" x14ac:dyDescent="0.3">
      <c r="A26" s="8" t="s">
        <v>83</v>
      </c>
      <c r="B26" s="8" t="s">
        <v>60</v>
      </c>
      <c r="C26" s="8" t="s">
        <v>61</v>
      </c>
      <c r="D26" s="9">
        <v>1858586.83</v>
      </c>
      <c r="E26" s="9">
        <v>192376.14</v>
      </c>
      <c r="F26" s="8">
        <v>0.7</v>
      </c>
      <c r="G26" s="8">
        <v>7</v>
      </c>
      <c r="H26" s="8">
        <v>1</v>
      </c>
      <c r="I26" s="8">
        <v>12</v>
      </c>
      <c r="J26" s="10">
        <f t="shared" si="0"/>
        <v>1</v>
      </c>
      <c r="K26" s="11">
        <f t="shared" si="1"/>
        <v>1858586.83</v>
      </c>
      <c r="L26" s="11">
        <f t="shared" si="2"/>
        <v>192376.14</v>
      </c>
      <c r="M26" s="11">
        <f t="shared" si="3"/>
        <v>2050962.9700000002</v>
      </c>
      <c r="N26" s="11">
        <f t="shared" si="4"/>
        <v>2050962.9700000002</v>
      </c>
      <c r="O26" s="11">
        <f t="shared" si="5"/>
        <v>2878288.9249999998</v>
      </c>
      <c r="P26" s="12">
        <f>IF(AND(C26="F",M26&lt;O26,SUMIFS(Категории!$Z$5:$Z$11,Категории!$A$5:$A$11,B26)=1),1,0)</f>
        <v>0</v>
      </c>
      <c r="Q26" s="11">
        <f t="shared" si="6"/>
        <v>0</v>
      </c>
      <c r="R26" s="10">
        <f>IF(AND(P26=1,SUMIFS(Категории!$AA$5:$AA$11,Категории!$A$5:$A$11,B26)&gt;0),Q26/SUMIFS(Категории!$AA$5:$AA$11,Категории!$A$5:$A$11,B26),0)</f>
        <v>0</v>
      </c>
      <c r="S26" s="11">
        <f>R26*SUMIFS(Категории!$AB$5:$AB$11,Категории!$A$5:$A$11,B26)</f>
        <v>0</v>
      </c>
      <c r="T26" s="11">
        <f t="shared" si="7"/>
        <v>0</v>
      </c>
      <c r="U26" s="11">
        <f t="shared" si="8"/>
        <v>0</v>
      </c>
      <c r="V26" s="11">
        <f t="shared" si="9"/>
        <v>0</v>
      </c>
      <c r="W26" s="12">
        <f>IF(AND(C26="F",M26&lt;O26,SUMIFS(Категории!$AH$5:$AH$11,Категории!$A$5:$A$11,B26)=1),1,0)</f>
        <v>0</v>
      </c>
      <c r="X26" s="11">
        <f t="shared" si="10"/>
        <v>0</v>
      </c>
      <c r="Y26" s="10">
        <f>IF(AND(W26=1,SUMIFS(Категории!$AI$5:$AI$11,Категории!$A$5:$A$11,B26)&gt;0),X26/SUMIFS(Категории!$AI$5:$AI$11,Категории!$A$5:$A$11,B26),0)</f>
        <v>0</v>
      </c>
      <c r="Z26" s="11">
        <f>Y26*SUMIFS(Категории!$AJ$5:$AJ$11,Категории!$A$5:$A$11,B26)</f>
        <v>0</v>
      </c>
      <c r="AA26" s="11">
        <f t="shared" si="11"/>
        <v>0</v>
      </c>
      <c r="AB26" s="11">
        <f t="shared" si="12"/>
        <v>0</v>
      </c>
      <c r="AC26" s="11">
        <f t="shared" si="13"/>
        <v>0</v>
      </c>
      <c r="AD26" s="12">
        <f t="shared" si="14"/>
        <v>3</v>
      </c>
      <c r="AE26" s="12">
        <f t="shared" si="15"/>
        <v>44</v>
      </c>
      <c r="AF26" s="12">
        <f t="shared" si="16"/>
        <v>1</v>
      </c>
      <c r="AG26" s="12">
        <f t="shared" si="17"/>
        <v>32</v>
      </c>
    </row>
    <row r="27" spans="1:33" x14ac:dyDescent="0.3">
      <c r="A27" s="8" t="s">
        <v>84</v>
      </c>
      <c r="B27" s="8" t="s">
        <v>60</v>
      </c>
      <c r="C27" s="8" t="s">
        <v>61</v>
      </c>
      <c r="D27" s="9">
        <v>2220379.59</v>
      </c>
      <c r="E27" s="9">
        <v>274287.37</v>
      </c>
      <c r="F27" s="8">
        <v>6</v>
      </c>
      <c r="G27" s="8">
        <v>8</v>
      </c>
      <c r="H27" s="8">
        <v>1</v>
      </c>
      <c r="I27" s="8">
        <v>12</v>
      </c>
      <c r="J27" s="10">
        <f t="shared" si="0"/>
        <v>1</v>
      </c>
      <c r="K27" s="11">
        <f t="shared" si="1"/>
        <v>2220379.59</v>
      </c>
      <c r="L27" s="11">
        <f t="shared" si="2"/>
        <v>274287.37</v>
      </c>
      <c r="M27" s="11">
        <f t="shared" si="3"/>
        <v>2494666.96</v>
      </c>
      <c r="N27" s="11">
        <f t="shared" si="4"/>
        <v>2494666.96</v>
      </c>
      <c r="O27" s="11">
        <f t="shared" si="5"/>
        <v>2878288.9249999998</v>
      </c>
      <c r="P27" s="12">
        <f>IF(AND(C27="F",M27&lt;O27,SUMIFS(Категории!$Z$5:$Z$11,Категории!$A$5:$A$11,B27)=1),1,0)</f>
        <v>0</v>
      </c>
      <c r="Q27" s="11">
        <f t="shared" si="6"/>
        <v>0</v>
      </c>
      <c r="R27" s="10">
        <f>IF(AND(P27=1,SUMIFS(Категории!$AA$5:$AA$11,Категории!$A$5:$A$11,B27)&gt;0),Q27/SUMIFS(Категории!$AA$5:$AA$11,Категории!$A$5:$A$11,B27),0)</f>
        <v>0</v>
      </c>
      <c r="S27" s="11">
        <f>R27*SUMIFS(Категории!$AB$5:$AB$11,Категории!$A$5:$A$11,B27)</f>
        <v>0</v>
      </c>
      <c r="T27" s="11">
        <f t="shared" si="7"/>
        <v>0</v>
      </c>
      <c r="U27" s="11">
        <f t="shared" si="8"/>
        <v>0</v>
      </c>
      <c r="V27" s="11">
        <f t="shared" si="9"/>
        <v>0</v>
      </c>
      <c r="W27" s="12">
        <f>IF(AND(C27="F",M27&lt;O27,SUMIFS(Категории!$AH$5:$AH$11,Категории!$A$5:$A$11,B27)=1),1,0)</f>
        <v>0</v>
      </c>
      <c r="X27" s="11">
        <f t="shared" si="10"/>
        <v>0</v>
      </c>
      <c r="Y27" s="10">
        <f>IF(AND(W27=1,SUMIFS(Категории!$AI$5:$AI$11,Категории!$A$5:$A$11,B27)&gt;0),X27/SUMIFS(Категории!$AI$5:$AI$11,Категории!$A$5:$A$11,B27),0)</f>
        <v>0</v>
      </c>
      <c r="Z27" s="11">
        <f>Y27*SUMIFS(Категории!$AJ$5:$AJ$11,Категории!$A$5:$A$11,B27)</f>
        <v>0</v>
      </c>
      <c r="AA27" s="11">
        <f t="shared" si="11"/>
        <v>0</v>
      </c>
      <c r="AB27" s="11">
        <f t="shared" si="12"/>
        <v>0</v>
      </c>
      <c r="AC27" s="11">
        <f t="shared" si="13"/>
        <v>0</v>
      </c>
      <c r="AD27" s="12">
        <f t="shared" si="14"/>
        <v>13</v>
      </c>
      <c r="AE27" s="12">
        <f t="shared" si="15"/>
        <v>44</v>
      </c>
      <c r="AF27" s="12">
        <f t="shared" si="16"/>
        <v>8</v>
      </c>
      <c r="AG27" s="12">
        <f t="shared" si="17"/>
        <v>32</v>
      </c>
    </row>
    <row r="28" spans="1:33" x14ac:dyDescent="0.3">
      <c r="A28" s="8" t="s">
        <v>85</v>
      </c>
      <c r="B28" s="8" t="s">
        <v>60</v>
      </c>
      <c r="C28" s="8" t="s">
        <v>61</v>
      </c>
      <c r="D28" s="9">
        <v>2252219.4300000002</v>
      </c>
      <c r="E28" s="9">
        <v>321057.33</v>
      </c>
      <c r="F28" s="8">
        <v>4.8</v>
      </c>
      <c r="G28" s="8">
        <v>8</v>
      </c>
      <c r="H28" s="8">
        <v>1</v>
      </c>
      <c r="I28" s="8">
        <v>12</v>
      </c>
      <c r="J28" s="10">
        <f t="shared" si="0"/>
        <v>1</v>
      </c>
      <c r="K28" s="11">
        <f t="shared" si="1"/>
        <v>2252219.4300000002</v>
      </c>
      <c r="L28" s="11">
        <f t="shared" si="2"/>
        <v>321057.33</v>
      </c>
      <c r="M28" s="11">
        <f t="shared" si="3"/>
        <v>2573276.7600000002</v>
      </c>
      <c r="N28" s="11">
        <f t="shared" si="4"/>
        <v>2573276.7600000002</v>
      </c>
      <c r="O28" s="11">
        <f t="shared" si="5"/>
        <v>2878288.9249999998</v>
      </c>
      <c r="P28" s="12">
        <f>IF(AND(C28="F",M28&lt;O28,SUMIFS(Категории!$Z$5:$Z$11,Категории!$A$5:$A$11,B28)=1),1,0)</f>
        <v>0</v>
      </c>
      <c r="Q28" s="11">
        <f t="shared" si="6"/>
        <v>0</v>
      </c>
      <c r="R28" s="10">
        <f>IF(AND(P28=1,SUMIFS(Категории!$AA$5:$AA$11,Категории!$A$5:$A$11,B28)&gt;0),Q28/SUMIFS(Категории!$AA$5:$AA$11,Категории!$A$5:$A$11,B28),0)</f>
        <v>0</v>
      </c>
      <c r="S28" s="11">
        <f>R28*SUMIFS(Категории!$AB$5:$AB$11,Категории!$A$5:$A$11,B28)</f>
        <v>0</v>
      </c>
      <c r="T28" s="11">
        <f t="shared" si="7"/>
        <v>0</v>
      </c>
      <c r="U28" s="11">
        <f t="shared" si="8"/>
        <v>0</v>
      </c>
      <c r="V28" s="11">
        <f t="shared" si="9"/>
        <v>0</v>
      </c>
      <c r="W28" s="12">
        <f>IF(AND(C28="F",M28&lt;O28,SUMIFS(Категории!$AH$5:$AH$11,Категории!$A$5:$A$11,B28)=1),1,0)</f>
        <v>0</v>
      </c>
      <c r="X28" s="11">
        <f t="shared" si="10"/>
        <v>0</v>
      </c>
      <c r="Y28" s="10">
        <f>IF(AND(W28=1,SUMIFS(Категории!$AI$5:$AI$11,Категории!$A$5:$A$11,B28)&gt;0),X28/SUMIFS(Категории!$AI$5:$AI$11,Категории!$A$5:$A$11,B28),0)</f>
        <v>0</v>
      </c>
      <c r="Z28" s="11">
        <f>Y28*SUMIFS(Категории!$AJ$5:$AJ$11,Категории!$A$5:$A$11,B28)</f>
        <v>0</v>
      </c>
      <c r="AA28" s="11">
        <f t="shared" si="11"/>
        <v>0</v>
      </c>
      <c r="AB28" s="11">
        <f t="shared" si="12"/>
        <v>0</v>
      </c>
      <c r="AC28" s="11">
        <f t="shared" si="13"/>
        <v>0</v>
      </c>
      <c r="AD28" s="12">
        <f t="shared" si="14"/>
        <v>16</v>
      </c>
      <c r="AE28" s="12">
        <f t="shared" si="15"/>
        <v>44</v>
      </c>
      <c r="AF28" s="12">
        <f t="shared" si="16"/>
        <v>10</v>
      </c>
      <c r="AG28" s="12">
        <f t="shared" si="17"/>
        <v>32</v>
      </c>
    </row>
    <row r="29" spans="1:33" x14ac:dyDescent="0.3">
      <c r="A29" s="8" t="s">
        <v>86</v>
      </c>
      <c r="B29" s="8" t="s">
        <v>60</v>
      </c>
      <c r="C29" s="8" t="s">
        <v>61</v>
      </c>
      <c r="D29" s="9">
        <v>2167227.58</v>
      </c>
      <c r="E29" s="9">
        <v>288138.53999999998</v>
      </c>
      <c r="F29" s="8">
        <v>4.8</v>
      </c>
      <c r="G29" s="8">
        <v>8</v>
      </c>
      <c r="H29" s="8">
        <v>1</v>
      </c>
      <c r="I29" s="8">
        <v>12</v>
      </c>
      <c r="J29" s="10">
        <f t="shared" si="0"/>
        <v>1</v>
      </c>
      <c r="K29" s="11">
        <f t="shared" si="1"/>
        <v>2167227.58</v>
      </c>
      <c r="L29" s="11">
        <f t="shared" si="2"/>
        <v>288138.53999999998</v>
      </c>
      <c r="M29" s="11">
        <f t="shared" si="3"/>
        <v>2455366.12</v>
      </c>
      <c r="N29" s="11">
        <f t="shared" si="4"/>
        <v>2455366.12</v>
      </c>
      <c r="O29" s="11">
        <f t="shared" si="5"/>
        <v>2878288.9249999998</v>
      </c>
      <c r="P29" s="12">
        <f>IF(AND(C29="F",M29&lt;O29,SUMIFS(Категории!$Z$5:$Z$11,Категории!$A$5:$A$11,B29)=1),1,0)</f>
        <v>0</v>
      </c>
      <c r="Q29" s="11">
        <f t="shared" si="6"/>
        <v>0</v>
      </c>
      <c r="R29" s="10">
        <f>IF(AND(P29=1,SUMIFS(Категории!$AA$5:$AA$11,Категории!$A$5:$A$11,B29)&gt;0),Q29/SUMIFS(Категории!$AA$5:$AA$11,Категории!$A$5:$A$11,B29),0)</f>
        <v>0</v>
      </c>
      <c r="S29" s="11">
        <f>R29*SUMIFS(Категории!$AB$5:$AB$11,Категории!$A$5:$A$11,B29)</f>
        <v>0</v>
      </c>
      <c r="T29" s="11">
        <f t="shared" si="7"/>
        <v>0</v>
      </c>
      <c r="U29" s="11">
        <f t="shared" si="8"/>
        <v>0</v>
      </c>
      <c r="V29" s="11">
        <f t="shared" si="9"/>
        <v>0</v>
      </c>
      <c r="W29" s="12">
        <f>IF(AND(C29="F",M29&lt;O29,SUMIFS(Категории!$AH$5:$AH$11,Категории!$A$5:$A$11,B29)=1),1,0)</f>
        <v>0</v>
      </c>
      <c r="X29" s="11">
        <f t="shared" si="10"/>
        <v>0</v>
      </c>
      <c r="Y29" s="10">
        <f>IF(AND(W29=1,SUMIFS(Категории!$AI$5:$AI$11,Категории!$A$5:$A$11,B29)&gt;0),X29/SUMIFS(Категории!$AI$5:$AI$11,Категории!$A$5:$A$11,B29),0)</f>
        <v>0</v>
      </c>
      <c r="Z29" s="11">
        <f>Y29*SUMIFS(Категории!$AJ$5:$AJ$11,Категории!$A$5:$A$11,B29)</f>
        <v>0</v>
      </c>
      <c r="AA29" s="11">
        <f t="shared" si="11"/>
        <v>0</v>
      </c>
      <c r="AB29" s="11">
        <f t="shared" si="12"/>
        <v>0</v>
      </c>
      <c r="AC29" s="11">
        <f t="shared" si="13"/>
        <v>0</v>
      </c>
      <c r="AD29" s="12">
        <f t="shared" si="14"/>
        <v>12</v>
      </c>
      <c r="AE29" s="12">
        <f t="shared" si="15"/>
        <v>44</v>
      </c>
      <c r="AF29" s="12">
        <f t="shared" si="16"/>
        <v>7</v>
      </c>
      <c r="AG29" s="12">
        <f t="shared" si="17"/>
        <v>32</v>
      </c>
    </row>
    <row r="30" spans="1:33" x14ac:dyDescent="0.3">
      <c r="A30" s="8" t="s">
        <v>87</v>
      </c>
      <c r="B30" s="8" t="s">
        <v>60</v>
      </c>
      <c r="C30" s="8" t="s">
        <v>66</v>
      </c>
      <c r="D30" s="9">
        <v>2406879.86</v>
      </c>
      <c r="E30" s="9">
        <v>325587.56</v>
      </c>
      <c r="F30" s="8">
        <v>7</v>
      </c>
      <c r="G30" s="8">
        <v>9</v>
      </c>
      <c r="H30" s="8">
        <v>1</v>
      </c>
      <c r="I30" s="8">
        <v>12</v>
      </c>
      <c r="J30" s="10">
        <f t="shared" si="0"/>
        <v>1</v>
      </c>
      <c r="K30" s="11">
        <f t="shared" si="1"/>
        <v>2406879.86</v>
      </c>
      <c r="L30" s="11">
        <f t="shared" si="2"/>
        <v>325587.56</v>
      </c>
      <c r="M30" s="11">
        <f t="shared" si="3"/>
        <v>2732467.42</v>
      </c>
      <c r="N30" s="11">
        <f t="shared" si="4"/>
        <v>2732467.42</v>
      </c>
      <c r="O30" s="11">
        <f t="shared" si="5"/>
        <v>2878288.9249999998</v>
      </c>
      <c r="P30" s="12">
        <f>IF(AND(C30="F",M30&lt;O30,SUMIFS(Категории!$Z$5:$Z$11,Категории!$A$5:$A$11,B30)=1),1,0)</f>
        <v>1</v>
      </c>
      <c r="Q30" s="11">
        <f t="shared" si="6"/>
        <v>145821.50499999989</v>
      </c>
      <c r="R30" s="10">
        <f>IF(AND(P30=1,SUMIFS(Категории!$AA$5:$AA$11,Категории!$A$5:$A$11,B30)&gt;0),Q30/SUMIFS(Категории!$AA$5:$AA$11,Категории!$A$5:$A$11,B30),0)</f>
        <v>3.7446274574966139E-2</v>
      </c>
      <c r="S30" s="11">
        <f>R30*SUMIFS(Категории!$AB$5:$AB$11,Категории!$A$5:$A$11,B30)</f>
        <v>54772.776667608407</v>
      </c>
      <c r="T30" s="11">
        <f t="shared" si="7"/>
        <v>54772.776667608407</v>
      </c>
      <c r="U30" s="11">
        <f t="shared" si="8"/>
        <v>16431.833000282521</v>
      </c>
      <c r="V30" s="11">
        <f t="shared" si="9"/>
        <v>71204.609667890923</v>
      </c>
      <c r="W30" s="12">
        <f>IF(AND(C30="F",M30&lt;O30,SUMIFS(Категории!$AH$5:$AH$11,Категории!$A$5:$A$11,B30)=1),1,0)</f>
        <v>1</v>
      </c>
      <c r="X30" s="11">
        <f t="shared" si="10"/>
        <v>145821.50499999989</v>
      </c>
      <c r="Y30" s="10">
        <f>IF(AND(W30=1,SUMIFS(Категории!$AI$5:$AI$11,Категории!$A$5:$A$11,B30)&gt;0),X30/SUMIFS(Категории!$AI$5:$AI$11,Категории!$A$5:$A$11,B30),0)</f>
        <v>3.7446274574966139E-2</v>
      </c>
      <c r="Z30" s="11">
        <f>Y30*SUMIFS(Категории!$AJ$5:$AJ$11,Категории!$A$5:$A$11,B30)</f>
        <v>121895.84417119864</v>
      </c>
      <c r="AA30" s="11">
        <f t="shared" si="11"/>
        <v>121895.84417119864</v>
      </c>
      <c r="AB30" s="11">
        <f t="shared" si="12"/>
        <v>36568.753251359587</v>
      </c>
      <c r="AC30" s="11">
        <f t="shared" si="13"/>
        <v>158464.59742255823</v>
      </c>
      <c r="AD30" s="12">
        <f t="shared" si="14"/>
        <v>20</v>
      </c>
      <c r="AE30" s="12">
        <f t="shared" si="15"/>
        <v>44</v>
      </c>
      <c r="AF30" s="12">
        <f t="shared" si="16"/>
        <v>7</v>
      </c>
      <c r="AG30" s="12">
        <f t="shared" si="17"/>
        <v>12</v>
      </c>
    </row>
    <row r="31" spans="1:33" x14ac:dyDescent="0.3">
      <c r="A31" s="8" t="s">
        <v>88</v>
      </c>
      <c r="B31" s="8" t="s">
        <v>60</v>
      </c>
      <c r="C31" s="8" t="s">
        <v>61</v>
      </c>
      <c r="D31" s="9">
        <v>2014852.5</v>
      </c>
      <c r="E31" s="9">
        <v>291240.8</v>
      </c>
      <c r="F31" s="8">
        <v>4.8</v>
      </c>
      <c r="G31" s="8">
        <v>7</v>
      </c>
      <c r="H31" s="8">
        <v>1</v>
      </c>
      <c r="I31" s="8">
        <v>12</v>
      </c>
      <c r="J31" s="10">
        <f t="shared" si="0"/>
        <v>1</v>
      </c>
      <c r="K31" s="11">
        <f t="shared" si="1"/>
        <v>2014852.5</v>
      </c>
      <c r="L31" s="11">
        <f t="shared" si="2"/>
        <v>291240.8</v>
      </c>
      <c r="M31" s="11">
        <f t="shared" si="3"/>
        <v>2306093.2999999998</v>
      </c>
      <c r="N31" s="11">
        <f t="shared" si="4"/>
        <v>2306093.2999999998</v>
      </c>
      <c r="O31" s="11">
        <f t="shared" si="5"/>
        <v>2878288.9249999998</v>
      </c>
      <c r="P31" s="12">
        <f>IF(AND(C31="F",M31&lt;O31,SUMIFS(Категории!$Z$5:$Z$11,Категории!$A$5:$A$11,B31)=1),1,0)</f>
        <v>0</v>
      </c>
      <c r="Q31" s="11">
        <f t="shared" si="6"/>
        <v>0</v>
      </c>
      <c r="R31" s="10">
        <f>IF(AND(P31=1,SUMIFS(Категории!$AA$5:$AA$11,Категории!$A$5:$A$11,B31)&gt;0),Q31/SUMIFS(Категории!$AA$5:$AA$11,Категории!$A$5:$A$11,B31),0)</f>
        <v>0</v>
      </c>
      <c r="S31" s="11">
        <f>R31*SUMIFS(Категории!$AB$5:$AB$11,Категории!$A$5:$A$11,B31)</f>
        <v>0</v>
      </c>
      <c r="T31" s="11">
        <f t="shared" si="7"/>
        <v>0</v>
      </c>
      <c r="U31" s="11">
        <f t="shared" si="8"/>
        <v>0</v>
      </c>
      <c r="V31" s="11">
        <f t="shared" si="9"/>
        <v>0</v>
      </c>
      <c r="W31" s="12">
        <f>IF(AND(C31="F",M31&lt;O31,SUMIFS(Категории!$AH$5:$AH$11,Категории!$A$5:$A$11,B31)=1),1,0)</f>
        <v>0</v>
      </c>
      <c r="X31" s="11">
        <f t="shared" si="10"/>
        <v>0</v>
      </c>
      <c r="Y31" s="10">
        <f>IF(AND(W31=1,SUMIFS(Категории!$AI$5:$AI$11,Категории!$A$5:$A$11,B31)&gt;0),X31/SUMIFS(Категории!$AI$5:$AI$11,Категории!$A$5:$A$11,B31),0)</f>
        <v>0</v>
      </c>
      <c r="Z31" s="11">
        <f>Y31*SUMIFS(Категории!$AJ$5:$AJ$11,Категории!$A$5:$A$11,B31)</f>
        <v>0</v>
      </c>
      <c r="AA31" s="11">
        <f t="shared" si="11"/>
        <v>0</v>
      </c>
      <c r="AB31" s="11">
        <f t="shared" si="12"/>
        <v>0</v>
      </c>
      <c r="AC31" s="11">
        <f t="shared" si="13"/>
        <v>0</v>
      </c>
      <c r="AD31" s="12">
        <f t="shared" si="14"/>
        <v>8</v>
      </c>
      <c r="AE31" s="12">
        <f t="shared" si="15"/>
        <v>44</v>
      </c>
      <c r="AF31" s="12">
        <f t="shared" si="16"/>
        <v>5</v>
      </c>
      <c r="AG31" s="12">
        <f t="shared" si="17"/>
        <v>32</v>
      </c>
    </row>
    <row r="32" spans="1:33" x14ac:dyDescent="0.3">
      <c r="A32" s="8" t="s">
        <v>89</v>
      </c>
      <c r="B32" s="8" t="s">
        <v>60</v>
      </c>
      <c r="C32" s="8" t="s">
        <v>66</v>
      </c>
      <c r="D32" s="9">
        <v>2036804.57</v>
      </c>
      <c r="E32" s="9">
        <v>192986.39</v>
      </c>
      <c r="F32" s="8">
        <v>4.2</v>
      </c>
      <c r="G32" s="8">
        <v>8</v>
      </c>
      <c r="H32" s="8">
        <v>1</v>
      </c>
      <c r="I32" s="8">
        <v>12</v>
      </c>
      <c r="J32" s="10">
        <f t="shared" si="0"/>
        <v>1</v>
      </c>
      <c r="K32" s="11">
        <f t="shared" si="1"/>
        <v>2036804.57</v>
      </c>
      <c r="L32" s="11">
        <f t="shared" si="2"/>
        <v>192986.39</v>
      </c>
      <c r="M32" s="11">
        <f t="shared" si="3"/>
        <v>2229790.96</v>
      </c>
      <c r="N32" s="11">
        <f t="shared" si="4"/>
        <v>2229790.96</v>
      </c>
      <c r="O32" s="11">
        <f t="shared" si="5"/>
        <v>2878288.9249999998</v>
      </c>
      <c r="P32" s="12">
        <f>IF(AND(C32="F",M32&lt;O32,SUMIFS(Категории!$Z$5:$Z$11,Категории!$A$5:$A$11,B32)=1),1,0)</f>
        <v>1</v>
      </c>
      <c r="Q32" s="11">
        <f t="shared" si="6"/>
        <v>648497.96499999985</v>
      </c>
      <c r="R32" s="10">
        <f>IF(AND(P32=1,SUMIFS(Категории!$AA$5:$AA$11,Категории!$A$5:$A$11,B32)&gt;0),Q32/SUMIFS(Категории!$AA$5:$AA$11,Категории!$A$5:$A$11,B32),0)</f>
        <v>0.16653121814026534</v>
      </c>
      <c r="S32" s="11">
        <f>R32*SUMIFS(Категории!$AB$5:$AB$11,Категории!$A$5:$A$11,B32)</f>
        <v>243585.70573211098</v>
      </c>
      <c r="T32" s="11">
        <f t="shared" si="7"/>
        <v>243585.70573211098</v>
      </c>
      <c r="U32" s="11">
        <f t="shared" si="8"/>
        <v>73075.711719633284</v>
      </c>
      <c r="V32" s="11">
        <f t="shared" si="9"/>
        <v>316661.41745174426</v>
      </c>
      <c r="W32" s="12">
        <f>IF(AND(C32="F",M32&lt;O32,SUMIFS(Категории!$AH$5:$AH$11,Категории!$A$5:$A$11,B32)=1),1,0)</f>
        <v>1</v>
      </c>
      <c r="X32" s="11">
        <f t="shared" si="10"/>
        <v>648497.96499999985</v>
      </c>
      <c r="Y32" s="10">
        <f>IF(AND(W32=1,SUMIFS(Категории!$AI$5:$AI$11,Категории!$A$5:$A$11,B32)&gt;0),X32/SUMIFS(Категории!$AI$5:$AI$11,Категории!$A$5:$A$11,B32),0)</f>
        <v>0.16653121814026534</v>
      </c>
      <c r="Z32" s="11">
        <f>Y32*SUMIFS(Категории!$AJ$5:$AJ$11,Категории!$A$5:$A$11,B32)</f>
        <v>542095.67297347169</v>
      </c>
      <c r="AA32" s="11">
        <f t="shared" si="11"/>
        <v>542095.67297347169</v>
      </c>
      <c r="AB32" s="11">
        <f t="shared" si="12"/>
        <v>162628.70189204151</v>
      </c>
      <c r="AC32" s="11">
        <f t="shared" si="13"/>
        <v>704724.37486551318</v>
      </c>
      <c r="AD32" s="12">
        <f t="shared" si="14"/>
        <v>7</v>
      </c>
      <c r="AE32" s="12">
        <f t="shared" si="15"/>
        <v>44</v>
      </c>
      <c r="AF32" s="12">
        <f t="shared" si="16"/>
        <v>3</v>
      </c>
      <c r="AG32" s="12">
        <f t="shared" si="17"/>
        <v>12</v>
      </c>
    </row>
    <row r="33" spans="1:33" x14ac:dyDescent="0.3">
      <c r="A33" s="8" t="s">
        <v>90</v>
      </c>
      <c r="B33" s="8" t="s">
        <v>60</v>
      </c>
      <c r="C33" s="8" t="s">
        <v>61</v>
      </c>
      <c r="D33" s="9">
        <v>3376876.84</v>
      </c>
      <c r="E33" s="9">
        <v>460029.76</v>
      </c>
      <c r="F33" s="8">
        <v>8.3000000000000007</v>
      </c>
      <c r="G33" s="8">
        <v>11</v>
      </c>
      <c r="H33" s="8">
        <v>1</v>
      </c>
      <c r="I33" s="8">
        <v>12</v>
      </c>
      <c r="J33" s="10">
        <f t="shared" si="0"/>
        <v>1</v>
      </c>
      <c r="K33" s="11">
        <f t="shared" si="1"/>
        <v>3376876.84</v>
      </c>
      <c r="L33" s="11">
        <f t="shared" si="2"/>
        <v>460029.76</v>
      </c>
      <c r="M33" s="11">
        <f t="shared" si="3"/>
        <v>3836906.5999999996</v>
      </c>
      <c r="N33" s="11">
        <f t="shared" si="4"/>
        <v>3836906.5999999996</v>
      </c>
      <c r="O33" s="11">
        <f t="shared" si="5"/>
        <v>2878288.9249999998</v>
      </c>
      <c r="P33" s="12">
        <f>IF(AND(C33="F",M33&lt;O33,SUMIFS(Категории!$Z$5:$Z$11,Категории!$A$5:$A$11,B33)=1),1,0)</f>
        <v>0</v>
      </c>
      <c r="Q33" s="11">
        <f t="shared" si="6"/>
        <v>0</v>
      </c>
      <c r="R33" s="10">
        <f>IF(AND(P33=1,SUMIFS(Категории!$AA$5:$AA$11,Категории!$A$5:$A$11,B33)&gt;0),Q33/SUMIFS(Категории!$AA$5:$AA$11,Категории!$A$5:$A$11,B33),0)</f>
        <v>0</v>
      </c>
      <c r="S33" s="11">
        <f>R33*SUMIFS(Категории!$AB$5:$AB$11,Категории!$A$5:$A$11,B33)</f>
        <v>0</v>
      </c>
      <c r="T33" s="11">
        <f t="shared" si="7"/>
        <v>0</v>
      </c>
      <c r="U33" s="11">
        <f t="shared" si="8"/>
        <v>0</v>
      </c>
      <c r="V33" s="11">
        <f t="shared" si="9"/>
        <v>0</v>
      </c>
      <c r="W33" s="12">
        <f>IF(AND(C33="F",M33&lt;O33,SUMIFS(Категории!$AH$5:$AH$11,Категории!$A$5:$A$11,B33)=1),1,0)</f>
        <v>0</v>
      </c>
      <c r="X33" s="11">
        <f t="shared" si="10"/>
        <v>0</v>
      </c>
      <c r="Y33" s="10">
        <f>IF(AND(W33=1,SUMIFS(Категории!$AI$5:$AI$11,Категории!$A$5:$A$11,B33)&gt;0),X33/SUMIFS(Категории!$AI$5:$AI$11,Категории!$A$5:$A$11,B33),0)</f>
        <v>0</v>
      </c>
      <c r="Z33" s="11">
        <f>Y33*SUMIFS(Категории!$AJ$5:$AJ$11,Категории!$A$5:$A$11,B33)</f>
        <v>0</v>
      </c>
      <c r="AA33" s="11">
        <f t="shared" si="11"/>
        <v>0</v>
      </c>
      <c r="AB33" s="11">
        <f t="shared" si="12"/>
        <v>0</v>
      </c>
      <c r="AC33" s="11">
        <f t="shared" si="13"/>
        <v>0</v>
      </c>
      <c r="AD33" s="12">
        <f t="shared" si="14"/>
        <v>43</v>
      </c>
      <c r="AE33" s="12">
        <f t="shared" si="15"/>
        <v>44</v>
      </c>
      <c r="AF33" s="12">
        <f t="shared" si="16"/>
        <v>31</v>
      </c>
      <c r="AG33" s="12">
        <f t="shared" si="17"/>
        <v>32</v>
      </c>
    </row>
    <row r="34" spans="1:33" x14ac:dyDescent="0.3">
      <c r="A34" s="8" t="s">
        <v>91</v>
      </c>
      <c r="B34" s="8" t="s">
        <v>60</v>
      </c>
      <c r="C34" s="8" t="s">
        <v>61</v>
      </c>
      <c r="D34" s="9">
        <v>2802401.3</v>
      </c>
      <c r="E34" s="9">
        <v>368833.66</v>
      </c>
      <c r="F34" s="8">
        <v>8.4</v>
      </c>
      <c r="G34" s="8">
        <v>10</v>
      </c>
      <c r="H34" s="8">
        <v>1</v>
      </c>
      <c r="I34" s="8">
        <v>12</v>
      </c>
      <c r="J34" s="10">
        <f t="shared" si="0"/>
        <v>1</v>
      </c>
      <c r="K34" s="11">
        <f t="shared" si="1"/>
        <v>2802401.3</v>
      </c>
      <c r="L34" s="11">
        <f t="shared" si="2"/>
        <v>368833.66</v>
      </c>
      <c r="M34" s="11">
        <f t="shared" si="3"/>
        <v>3171234.96</v>
      </c>
      <c r="N34" s="11">
        <f t="shared" si="4"/>
        <v>3171234.96</v>
      </c>
      <c r="O34" s="11">
        <f t="shared" si="5"/>
        <v>2878288.9249999998</v>
      </c>
      <c r="P34" s="12">
        <f>IF(AND(C34="F",M34&lt;O34,SUMIFS(Категории!$Z$5:$Z$11,Категории!$A$5:$A$11,B34)=1),1,0)</f>
        <v>0</v>
      </c>
      <c r="Q34" s="11">
        <f t="shared" si="6"/>
        <v>0</v>
      </c>
      <c r="R34" s="10">
        <f>IF(AND(P34=1,SUMIFS(Категории!$AA$5:$AA$11,Категории!$A$5:$A$11,B34)&gt;0),Q34/SUMIFS(Категории!$AA$5:$AA$11,Категории!$A$5:$A$11,B34),0)</f>
        <v>0</v>
      </c>
      <c r="S34" s="11">
        <f>R34*SUMIFS(Категории!$AB$5:$AB$11,Категории!$A$5:$A$11,B34)</f>
        <v>0</v>
      </c>
      <c r="T34" s="11">
        <f t="shared" si="7"/>
        <v>0</v>
      </c>
      <c r="U34" s="11">
        <f t="shared" si="8"/>
        <v>0</v>
      </c>
      <c r="V34" s="11">
        <f t="shared" si="9"/>
        <v>0</v>
      </c>
      <c r="W34" s="12">
        <f>IF(AND(C34="F",M34&lt;O34,SUMIFS(Категории!$AH$5:$AH$11,Категории!$A$5:$A$11,B34)=1),1,0)</f>
        <v>0</v>
      </c>
      <c r="X34" s="11">
        <f t="shared" si="10"/>
        <v>0</v>
      </c>
      <c r="Y34" s="10">
        <f>IF(AND(W34=1,SUMIFS(Категории!$AI$5:$AI$11,Категории!$A$5:$A$11,B34)&gt;0),X34/SUMIFS(Категории!$AI$5:$AI$11,Категории!$A$5:$A$11,B34),0)</f>
        <v>0</v>
      </c>
      <c r="Z34" s="11">
        <f>Y34*SUMIFS(Категории!$AJ$5:$AJ$11,Категории!$A$5:$A$11,B34)</f>
        <v>0</v>
      </c>
      <c r="AA34" s="11">
        <f t="shared" si="11"/>
        <v>0</v>
      </c>
      <c r="AB34" s="11">
        <f t="shared" si="12"/>
        <v>0</v>
      </c>
      <c r="AC34" s="11">
        <f t="shared" si="13"/>
        <v>0</v>
      </c>
      <c r="AD34" s="12">
        <f t="shared" si="14"/>
        <v>31</v>
      </c>
      <c r="AE34" s="12">
        <f t="shared" si="15"/>
        <v>44</v>
      </c>
      <c r="AF34" s="12">
        <f t="shared" si="16"/>
        <v>20</v>
      </c>
      <c r="AG34" s="12">
        <f t="shared" si="17"/>
        <v>32</v>
      </c>
    </row>
    <row r="35" spans="1:33" x14ac:dyDescent="0.3">
      <c r="A35" s="8" t="s">
        <v>92</v>
      </c>
      <c r="B35" s="8" t="s">
        <v>60</v>
      </c>
      <c r="C35" s="8" t="s">
        <v>61</v>
      </c>
      <c r="D35" s="9">
        <v>2735869.8</v>
      </c>
      <c r="E35" s="9">
        <v>386617.21</v>
      </c>
      <c r="F35" s="8">
        <v>7.4</v>
      </c>
      <c r="G35" s="8">
        <v>10</v>
      </c>
      <c r="H35" s="8">
        <v>1</v>
      </c>
      <c r="I35" s="8">
        <v>12</v>
      </c>
      <c r="J35" s="10">
        <f t="shared" si="0"/>
        <v>1</v>
      </c>
      <c r="K35" s="11">
        <f t="shared" si="1"/>
        <v>2735869.8</v>
      </c>
      <c r="L35" s="11">
        <f t="shared" si="2"/>
        <v>386617.21</v>
      </c>
      <c r="M35" s="11">
        <f t="shared" si="3"/>
        <v>3122487.01</v>
      </c>
      <c r="N35" s="11">
        <f t="shared" si="4"/>
        <v>3122487.01</v>
      </c>
      <c r="O35" s="11">
        <f t="shared" si="5"/>
        <v>2878288.9249999998</v>
      </c>
      <c r="P35" s="12">
        <f>IF(AND(C35="F",M35&lt;O35,SUMIFS(Категории!$Z$5:$Z$11,Категории!$A$5:$A$11,B35)=1),1,0)</f>
        <v>0</v>
      </c>
      <c r="Q35" s="11">
        <f t="shared" si="6"/>
        <v>0</v>
      </c>
      <c r="R35" s="10">
        <f>IF(AND(P35=1,SUMIFS(Категории!$AA$5:$AA$11,Категории!$A$5:$A$11,B35)&gt;0),Q35/SUMIFS(Категории!$AA$5:$AA$11,Категории!$A$5:$A$11,B35),0)</f>
        <v>0</v>
      </c>
      <c r="S35" s="11">
        <f>R35*SUMIFS(Категории!$AB$5:$AB$11,Категории!$A$5:$A$11,B35)</f>
        <v>0</v>
      </c>
      <c r="T35" s="11">
        <f t="shared" si="7"/>
        <v>0</v>
      </c>
      <c r="U35" s="11">
        <f t="shared" si="8"/>
        <v>0</v>
      </c>
      <c r="V35" s="11">
        <f t="shared" si="9"/>
        <v>0</v>
      </c>
      <c r="W35" s="12">
        <f>IF(AND(C35="F",M35&lt;O35,SUMIFS(Категории!$AH$5:$AH$11,Категории!$A$5:$A$11,B35)=1),1,0)</f>
        <v>0</v>
      </c>
      <c r="X35" s="11">
        <f t="shared" si="10"/>
        <v>0</v>
      </c>
      <c r="Y35" s="10">
        <f>IF(AND(W35=1,SUMIFS(Категории!$AI$5:$AI$11,Категории!$A$5:$A$11,B35)&gt;0),X35/SUMIFS(Категории!$AI$5:$AI$11,Категории!$A$5:$A$11,B35),0)</f>
        <v>0</v>
      </c>
      <c r="Z35" s="11">
        <f>Y35*SUMIFS(Категории!$AJ$5:$AJ$11,Категории!$A$5:$A$11,B35)</f>
        <v>0</v>
      </c>
      <c r="AA35" s="11">
        <f t="shared" si="11"/>
        <v>0</v>
      </c>
      <c r="AB35" s="11">
        <f t="shared" si="12"/>
        <v>0</v>
      </c>
      <c r="AC35" s="11">
        <f t="shared" si="13"/>
        <v>0</v>
      </c>
      <c r="AD35" s="12">
        <f t="shared" si="14"/>
        <v>27</v>
      </c>
      <c r="AE35" s="12">
        <f t="shared" si="15"/>
        <v>44</v>
      </c>
      <c r="AF35" s="12">
        <f t="shared" si="16"/>
        <v>18</v>
      </c>
      <c r="AG35" s="12">
        <f t="shared" si="17"/>
        <v>32</v>
      </c>
    </row>
    <row r="36" spans="1:33" x14ac:dyDescent="0.3">
      <c r="A36" s="8" t="s">
        <v>93</v>
      </c>
      <c r="B36" s="8" t="s">
        <v>60</v>
      </c>
      <c r="C36" s="8" t="s">
        <v>61</v>
      </c>
      <c r="D36" s="9">
        <v>2920130.39</v>
      </c>
      <c r="E36" s="9">
        <v>361429.16</v>
      </c>
      <c r="F36" s="8">
        <v>10.1</v>
      </c>
      <c r="G36" s="8">
        <v>10</v>
      </c>
      <c r="H36" s="8">
        <v>1</v>
      </c>
      <c r="I36" s="8">
        <v>12</v>
      </c>
      <c r="J36" s="10">
        <f t="shared" si="0"/>
        <v>1</v>
      </c>
      <c r="K36" s="11">
        <f t="shared" si="1"/>
        <v>2920130.39</v>
      </c>
      <c r="L36" s="11">
        <f t="shared" si="2"/>
        <v>361429.16</v>
      </c>
      <c r="M36" s="11">
        <f t="shared" si="3"/>
        <v>3281559.5500000003</v>
      </c>
      <c r="N36" s="11">
        <f t="shared" si="4"/>
        <v>3281559.5500000003</v>
      </c>
      <c r="O36" s="11">
        <f t="shared" si="5"/>
        <v>2878288.9249999998</v>
      </c>
      <c r="P36" s="12">
        <f>IF(AND(C36="F",M36&lt;O36,SUMIFS(Категории!$Z$5:$Z$11,Категории!$A$5:$A$11,B36)=1),1,0)</f>
        <v>0</v>
      </c>
      <c r="Q36" s="11">
        <f t="shared" si="6"/>
        <v>0</v>
      </c>
      <c r="R36" s="10">
        <f>IF(AND(P36=1,SUMIFS(Категории!$AA$5:$AA$11,Категории!$A$5:$A$11,B36)&gt;0),Q36/SUMIFS(Категории!$AA$5:$AA$11,Категории!$A$5:$A$11,B36),0)</f>
        <v>0</v>
      </c>
      <c r="S36" s="11">
        <f>R36*SUMIFS(Категории!$AB$5:$AB$11,Категории!$A$5:$A$11,B36)</f>
        <v>0</v>
      </c>
      <c r="T36" s="11">
        <f t="shared" si="7"/>
        <v>0</v>
      </c>
      <c r="U36" s="11">
        <f t="shared" si="8"/>
        <v>0</v>
      </c>
      <c r="V36" s="11">
        <f t="shared" si="9"/>
        <v>0</v>
      </c>
      <c r="W36" s="12">
        <f>IF(AND(C36="F",M36&lt;O36,SUMIFS(Категории!$AH$5:$AH$11,Категории!$A$5:$A$11,B36)=1),1,0)</f>
        <v>0</v>
      </c>
      <c r="X36" s="11">
        <f t="shared" si="10"/>
        <v>0</v>
      </c>
      <c r="Y36" s="10">
        <f>IF(AND(W36=1,SUMIFS(Категории!$AI$5:$AI$11,Категории!$A$5:$A$11,B36)&gt;0),X36/SUMIFS(Категории!$AI$5:$AI$11,Категории!$A$5:$A$11,B36),0)</f>
        <v>0</v>
      </c>
      <c r="Z36" s="11">
        <f>Y36*SUMIFS(Категории!$AJ$5:$AJ$11,Категории!$A$5:$A$11,B36)</f>
        <v>0</v>
      </c>
      <c r="AA36" s="11">
        <f t="shared" si="11"/>
        <v>0</v>
      </c>
      <c r="AB36" s="11">
        <f t="shared" si="12"/>
        <v>0</v>
      </c>
      <c r="AC36" s="11">
        <f t="shared" si="13"/>
        <v>0</v>
      </c>
      <c r="AD36" s="12">
        <f t="shared" si="14"/>
        <v>32</v>
      </c>
      <c r="AE36" s="12">
        <f t="shared" si="15"/>
        <v>44</v>
      </c>
      <c r="AF36" s="12">
        <f t="shared" si="16"/>
        <v>21</v>
      </c>
      <c r="AG36" s="12">
        <f t="shared" si="17"/>
        <v>32</v>
      </c>
    </row>
    <row r="37" spans="1:33" x14ac:dyDescent="0.3">
      <c r="A37" s="8" t="s">
        <v>94</v>
      </c>
      <c r="B37" s="8" t="s">
        <v>60</v>
      </c>
      <c r="C37" s="8" t="s">
        <v>61</v>
      </c>
      <c r="D37" s="9">
        <v>2378565.61</v>
      </c>
      <c r="E37" s="9">
        <v>332149.45</v>
      </c>
      <c r="F37" s="8">
        <v>4.5999999999999996</v>
      </c>
      <c r="G37" s="8">
        <v>8</v>
      </c>
      <c r="H37" s="8">
        <v>1</v>
      </c>
      <c r="I37" s="8">
        <v>12</v>
      </c>
      <c r="J37" s="10">
        <f t="shared" si="0"/>
        <v>1</v>
      </c>
      <c r="K37" s="11">
        <f t="shared" si="1"/>
        <v>2378565.61</v>
      </c>
      <c r="L37" s="11">
        <f t="shared" si="2"/>
        <v>332149.45</v>
      </c>
      <c r="M37" s="11">
        <f t="shared" si="3"/>
        <v>2710715.06</v>
      </c>
      <c r="N37" s="11">
        <f t="shared" si="4"/>
        <v>2710715.06</v>
      </c>
      <c r="O37" s="11">
        <f t="shared" si="5"/>
        <v>2878288.9249999998</v>
      </c>
      <c r="P37" s="12">
        <f>IF(AND(C37="F",M37&lt;O37,SUMIFS(Категории!$Z$5:$Z$11,Категории!$A$5:$A$11,B37)=1),1,0)</f>
        <v>0</v>
      </c>
      <c r="Q37" s="11">
        <f t="shared" si="6"/>
        <v>0</v>
      </c>
      <c r="R37" s="10">
        <f>IF(AND(P37=1,SUMIFS(Категории!$AA$5:$AA$11,Категории!$A$5:$A$11,B37)&gt;0),Q37/SUMIFS(Категории!$AA$5:$AA$11,Категории!$A$5:$A$11,B37),0)</f>
        <v>0</v>
      </c>
      <c r="S37" s="11">
        <f>R37*SUMIFS(Категории!$AB$5:$AB$11,Категории!$A$5:$A$11,B37)</f>
        <v>0</v>
      </c>
      <c r="T37" s="11">
        <f t="shared" si="7"/>
        <v>0</v>
      </c>
      <c r="U37" s="11">
        <f t="shared" si="8"/>
        <v>0</v>
      </c>
      <c r="V37" s="11">
        <f t="shared" si="9"/>
        <v>0</v>
      </c>
      <c r="W37" s="12">
        <f>IF(AND(C37="F",M37&lt;O37,SUMIFS(Категории!$AH$5:$AH$11,Категории!$A$5:$A$11,B37)=1),1,0)</f>
        <v>0</v>
      </c>
      <c r="X37" s="11">
        <f t="shared" si="10"/>
        <v>0</v>
      </c>
      <c r="Y37" s="10">
        <f>IF(AND(W37=1,SUMIFS(Категории!$AI$5:$AI$11,Категории!$A$5:$A$11,B37)&gt;0),X37/SUMIFS(Категории!$AI$5:$AI$11,Категории!$A$5:$A$11,B37),0)</f>
        <v>0</v>
      </c>
      <c r="Z37" s="11">
        <f>Y37*SUMIFS(Категории!$AJ$5:$AJ$11,Категории!$A$5:$A$11,B37)</f>
        <v>0</v>
      </c>
      <c r="AA37" s="11">
        <f t="shared" si="11"/>
        <v>0</v>
      </c>
      <c r="AB37" s="11">
        <f t="shared" si="12"/>
        <v>0</v>
      </c>
      <c r="AC37" s="11">
        <f t="shared" si="13"/>
        <v>0</v>
      </c>
      <c r="AD37" s="12">
        <f t="shared" si="14"/>
        <v>19</v>
      </c>
      <c r="AE37" s="12">
        <f t="shared" si="15"/>
        <v>44</v>
      </c>
      <c r="AF37" s="12">
        <f t="shared" si="16"/>
        <v>13</v>
      </c>
      <c r="AG37" s="12">
        <f t="shared" si="17"/>
        <v>32</v>
      </c>
    </row>
    <row r="38" spans="1:33" x14ac:dyDescent="0.3">
      <c r="A38" s="8" t="s">
        <v>95</v>
      </c>
      <c r="B38" s="8" t="s">
        <v>60</v>
      </c>
      <c r="C38" s="8" t="s">
        <v>61</v>
      </c>
      <c r="D38" s="9">
        <v>2548716.75</v>
      </c>
      <c r="E38" s="9">
        <v>339516.17</v>
      </c>
      <c r="F38" s="8">
        <v>7.7</v>
      </c>
      <c r="G38" s="8">
        <v>8</v>
      </c>
      <c r="H38" s="8">
        <v>1</v>
      </c>
      <c r="I38" s="8">
        <v>12</v>
      </c>
      <c r="J38" s="10">
        <f t="shared" si="0"/>
        <v>1</v>
      </c>
      <c r="K38" s="11">
        <f t="shared" si="1"/>
        <v>2548716.75</v>
      </c>
      <c r="L38" s="11">
        <f t="shared" si="2"/>
        <v>339516.17</v>
      </c>
      <c r="M38" s="11">
        <f t="shared" si="3"/>
        <v>2888232.92</v>
      </c>
      <c r="N38" s="11">
        <f t="shared" si="4"/>
        <v>2888232.92</v>
      </c>
      <c r="O38" s="11">
        <f t="shared" si="5"/>
        <v>2878288.9249999998</v>
      </c>
      <c r="P38" s="12">
        <f>IF(AND(C38="F",M38&lt;O38,SUMIFS(Категории!$Z$5:$Z$11,Категории!$A$5:$A$11,B38)=1),1,0)</f>
        <v>0</v>
      </c>
      <c r="Q38" s="11">
        <f t="shared" si="6"/>
        <v>0</v>
      </c>
      <c r="R38" s="10">
        <f>IF(AND(P38=1,SUMIFS(Категории!$AA$5:$AA$11,Категории!$A$5:$A$11,B38)&gt;0),Q38/SUMIFS(Категории!$AA$5:$AA$11,Категории!$A$5:$A$11,B38),0)</f>
        <v>0</v>
      </c>
      <c r="S38" s="11">
        <f>R38*SUMIFS(Категории!$AB$5:$AB$11,Категории!$A$5:$A$11,B38)</f>
        <v>0</v>
      </c>
      <c r="T38" s="11">
        <f t="shared" si="7"/>
        <v>0</v>
      </c>
      <c r="U38" s="11">
        <f t="shared" si="8"/>
        <v>0</v>
      </c>
      <c r="V38" s="11">
        <f t="shared" si="9"/>
        <v>0</v>
      </c>
      <c r="W38" s="12">
        <f>IF(AND(C38="F",M38&lt;O38,SUMIFS(Категории!$AH$5:$AH$11,Категории!$A$5:$A$11,B38)=1),1,0)</f>
        <v>0</v>
      </c>
      <c r="X38" s="11">
        <f t="shared" si="10"/>
        <v>0</v>
      </c>
      <c r="Y38" s="10">
        <f>IF(AND(W38=1,SUMIFS(Категории!$AI$5:$AI$11,Категории!$A$5:$A$11,B38)&gt;0),X38/SUMIFS(Категории!$AI$5:$AI$11,Категории!$A$5:$A$11,B38),0)</f>
        <v>0</v>
      </c>
      <c r="Z38" s="11">
        <f>Y38*SUMIFS(Категории!$AJ$5:$AJ$11,Категории!$A$5:$A$11,B38)</f>
        <v>0</v>
      </c>
      <c r="AA38" s="11">
        <f t="shared" si="11"/>
        <v>0</v>
      </c>
      <c r="AB38" s="11">
        <f t="shared" si="12"/>
        <v>0</v>
      </c>
      <c r="AC38" s="11">
        <f t="shared" si="13"/>
        <v>0</v>
      </c>
      <c r="AD38" s="12">
        <f t="shared" si="14"/>
        <v>23</v>
      </c>
      <c r="AE38" s="12">
        <f t="shared" si="15"/>
        <v>44</v>
      </c>
      <c r="AF38" s="12">
        <f t="shared" si="16"/>
        <v>15</v>
      </c>
      <c r="AG38" s="12">
        <f t="shared" si="17"/>
        <v>32</v>
      </c>
    </row>
    <row r="39" spans="1:33" x14ac:dyDescent="0.3">
      <c r="A39" s="8" t="s">
        <v>96</v>
      </c>
      <c r="B39" s="8" t="s">
        <v>60</v>
      </c>
      <c r="C39" s="8" t="s">
        <v>61</v>
      </c>
      <c r="D39" s="9">
        <v>1955990.03</v>
      </c>
      <c r="E39" s="9">
        <v>192198.95</v>
      </c>
      <c r="F39" s="8">
        <v>2.2000000000000002</v>
      </c>
      <c r="G39" s="8">
        <v>8</v>
      </c>
      <c r="H39" s="8">
        <v>1</v>
      </c>
      <c r="I39" s="8">
        <v>12</v>
      </c>
      <c r="J39" s="10">
        <f t="shared" si="0"/>
        <v>1</v>
      </c>
      <c r="K39" s="11">
        <f t="shared" si="1"/>
        <v>1955990.03</v>
      </c>
      <c r="L39" s="11">
        <f t="shared" si="2"/>
        <v>192198.95</v>
      </c>
      <c r="M39" s="11">
        <f t="shared" si="3"/>
        <v>2148188.98</v>
      </c>
      <c r="N39" s="11">
        <f t="shared" si="4"/>
        <v>2148188.98</v>
      </c>
      <c r="O39" s="11">
        <f t="shared" si="5"/>
        <v>2878288.9249999998</v>
      </c>
      <c r="P39" s="12">
        <f>IF(AND(C39="F",M39&lt;O39,SUMIFS(Категории!$Z$5:$Z$11,Категории!$A$5:$A$11,B39)=1),1,0)</f>
        <v>0</v>
      </c>
      <c r="Q39" s="11">
        <f t="shared" si="6"/>
        <v>0</v>
      </c>
      <c r="R39" s="10">
        <f>IF(AND(P39=1,SUMIFS(Категории!$AA$5:$AA$11,Категории!$A$5:$A$11,B39)&gt;0),Q39/SUMIFS(Категории!$AA$5:$AA$11,Категории!$A$5:$A$11,B39),0)</f>
        <v>0</v>
      </c>
      <c r="S39" s="11">
        <f>R39*SUMIFS(Категории!$AB$5:$AB$11,Категории!$A$5:$A$11,B39)</f>
        <v>0</v>
      </c>
      <c r="T39" s="11">
        <f t="shared" si="7"/>
        <v>0</v>
      </c>
      <c r="U39" s="11">
        <f t="shared" si="8"/>
        <v>0</v>
      </c>
      <c r="V39" s="11">
        <f t="shared" si="9"/>
        <v>0</v>
      </c>
      <c r="W39" s="12">
        <f>IF(AND(C39="F",M39&lt;O39,SUMIFS(Категории!$AH$5:$AH$11,Категории!$A$5:$A$11,B39)=1),1,0)</f>
        <v>0</v>
      </c>
      <c r="X39" s="11">
        <f t="shared" si="10"/>
        <v>0</v>
      </c>
      <c r="Y39" s="10">
        <f>IF(AND(W39=1,SUMIFS(Категории!$AI$5:$AI$11,Категории!$A$5:$A$11,B39)&gt;0),X39/SUMIFS(Категории!$AI$5:$AI$11,Категории!$A$5:$A$11,B39),0)</f>
        <v>0</v>
      </c>
      <c r="Z39" s="11">
        <f>Y39*SUMIFS(Категории!$AJ$5:$AJ$11,Категории!$A$5:$A$11,B39)</f>
        <v>0</v>
      </c>
      <c r="AA39" s="11">
        <f t="shared" si="11"/>
        <v>0</v>
      </c>
      <c r="AB39" s="11">
        <f t="shared" si="12"/>
        <v>0</v>
      </c>
      <c r="AC39" s="11">
        <f t="shared" si="13"/>
        <v>0</v>
      </c>
      <c r="AD39" s="12">
        <f t="shared" si="14"/>
        <v>6</v>
      </c>
      <c r="AE39" s="12">
        <f t="shared" si="15"/>
        <v>44</v>
      </c>
      <c r="AF39" s="12">
        <f t="shared" si="16"/>
        <v>4</v>
      </c>
      <c r="AG39" s="12">
        <f t="shared" si="17"/>
        <v>32</v>
      </c>
    </row>
    <row r="40" spans="1:33" x14ac:dyDescent="0.3">
      <c r="A40" s="8" t="s">
        <v>97</v>
      </c>
      <c r="B40" s="8" t="s">
        <v>60</v>
      </c>
      <c r="C40" s="8" t="s">
        <v>61</v>
      </c>
      <c r="D40" s="9">
        <v>2783380.27</v>
      </c>
      <c r="E40" s="9">
        <v>347129.03</v>
      </c>
      <c r="F40" s="8">
        <v>9.9</v>
      </c>
      <c r="G40" s="8">
        <v>10</v>
      </c>
      <c r="H40" s="8">
        <v>1</v>
      </c>
      <c r="I40" s="8">
        <v>12</v>
      </c>
      <c r="J40" s="10">
        <f t="shared" si="0"/>
        <v>1</v>
      </c>
      <c r="K40" s="11">
        <f t="shared" si="1"/>
        <v>2783380.27</v>
      </c>
      <c r="L40" s="11">
        <f t="shared" si="2"/>
        <v>347129.03</v>
      </c>
      <c r="M40" s="11">
        <f t="shared" si="3"/>
        <v>3130509.3</v>
      </c>
      <c r="N40" s="11">
        <f t="shared" si="4"/>
        <v>3130509.3</v>
      </c>
      <c r="O40" s="11">
        <f t="shared" si="5"/>
        <v>2878288.9249999998</v>
      </c>
      <c r="P40" s="12">
        <f>IF(AND(C40="F",M40&lt;O40,SUMIFS(Категории!$Z$5:$Z$11,Категории!$A$5:$A$11,B40)=1),1,0)</f>
        <v>0</v>
      </c>
      <c r="Q40" s="11">
        <f t="shared" si="6"/>
        <v>0</v>
      </c>
      <c r="R40" s="10">
        <f>IF(AND(P40=1,SUMIFS(Категории!$AA$5:$AA$11,Категории!$A$5:$A$11,B40)&gt;0),Q40/SUMIFS(Категории!$AA$5:$AA$11,Категории!$A$5:$A$11,B40),0)</f>
        <v>0</v>
      </c>
      <c r="S40" s="11">
        <f>R40*SUMIFS(Категории!$AB$5:$AB$11,Категории!$A$5:$A$11,B40)</f>
        <v>0</v>
      </c>
      <c r="T40" s="11">
        <f t="shared" si="7"/>
        <v>0</v>
      </c>
      <c r="U40" s="11">
        <f t="shared" si="8"/>
        <v>0</v>
      </c>
      <c r="V40" s="11">
        <f t="shared" si="9"/>
        <v>0</v>
      </c>
      <c r="W40" s="12">
        <f>IF(AND(C40="F",M40&lt;O40,SUMIFS(Категории!$AH$5:$AH$11,Категории!$A$5:$A$11,B40)=1),1,0)</f>
        <v>0</v>
      </c>
      <c r="X40" s="11">
        <f t="shared" si="10"/>
        <v>0</v>
      </c>
      <c r="Y40" s="10">
        <f>IF(AND(W40=1,SUMIFS(Категории!$AI$5:$AI$11,Категории!$A$5:$A$11,B40)&gt;0),X40/SUMIFS(Категории!$AI$5:$AI$11,Категории!$A$5:$A$11,B40),0)</f>
        <v>0</v>
      </c>
      <c r="Z40" s="11">
        <f>Y40*SUMIFS(Категории!$AJ$5:$AJ$11,Категории!$A$5:$A$11,B40)</f>
        <v>0</v>
      </c>
      <c r="AA40" s="11">
        <f t="shared" si="11"/>
        <v>0</v>
      </c>
      <c r="AB40" s="11">
        <f t="shared" si="12"/>
        <v>0</v>
      </c>
      <c r="AC40" s="11">
        <f t="shared" si="13"/>
        <v>0</v>
      </c>
      <c r="AD40" s="12">
        <f t="shared" si="14"/>
        <v>28</v>
      </c>
      <c r="AE40" s="12">
        <f t="shared" si="15"/>
        <v>44</v>
      </c>
      <c r="AF40" s="12">
        <f t="shared" si="16"/>
        <v>19</v>
      </c>
      <c r="AG40" s="12">
        <f t="shared" si="17"/>
        <v>32</v>
      </c>
    </row>
    <row r="41" spans="1:33" x14ac:dyDescent="0.3">
      <c r="A41" s="8" t="s">
        <v>98</v>
      </c>
      <c r="B41" s="8" t="s">
        <v>60</v>
      </c>
      <c r="C41" s="8" t="s">
        <v>61</v>
      </c>
      <c r="D41" s="9">
        <v>3442957.69</v>
      </c>
      <c r="E41" s="9">
        <v>391498.45</v>
      </c>
      <c r="F41" s="8">
        <v>11</v>
      </c>
      <c r="G41" s="8">
        <v>11</v>
      </c>
      <c r="H41" s="8">
        <v>1</v>
      </c>
      <c r="I41" s="8">
        <v>12</v>
      </c>
      <c r="J41" s="10">
        <f t="shared" si="0"/>
        <v>1</v>
      </c>
      <c r="K41" s="11">
        <f t="shared" si="1"/>
        <v>3442957.69</v>
      </c>
      <c r="L41" s="11">
        <f t="shared" si="2"/>
        <v>391498.45</v>
      </c>
      <c r="M41" s="11">
        <f t="shared" si="3"/>
        <v>3834456.14</v>
      </c>
      <c r="N41" s="11">
        <f t="shared" si="4"/>
        <v>3834456.14</v>
      </c>
      <c r="O41" s="11">
        <f t="shared" si="5"/>
        <v>2878288.9249999998</v>
      </c>
      <c r="P41" s="12">
        <f>IF(AND(C41="F",M41&lt;O41,SUMIFS(Категории!$Z$5:$Z$11,Категории!$A$5:$A$11,B41)=1),1,0)</f>
        <v>0</v>
      </c>
      <c r="Q41" s="11">
        <f t="shared" si="6"/>
        <v>0</v>
      </c>
      <c r="R41" s="10">
        <f>IF(AND(P41=1,SUMIFS(Категории!$AA$5:$AA$11,Категории!$A$5:$A$11,B41)&gt;0),Q41/SUMIFS(Категории!$AA$5:$AA$11,Категории!$A$5:$A$11,B41),0)</f>
        <v>0</v>
      </c>
      <c r="S41" s="11">
        <f>R41*SUMIFS(Категории!$AB$5:$AB$11,Категории!$A$5:$A$11,B41)</f>
        <v>0</v>
      </c>
      <c r="T41" s="11">
        <f t="shared" si="7"/>
        <v>0</v>
      </c>
      <c r="U41" s="11">
        <f t="shared" si="8"/>
        <v>0</v>
      </c>
      <c r="V41" s="11">
        <f t="shared" si="9"/>
        <v>0</v>
      </c>
      <c r="W41" s="12">
        <f>IF(AND(C41="F",M41&lt;O41,SUMIFS(Категории!$AH$5:$AH$11,Категории!$A$5:$A$11,B41)=1),1,0)</f>
        <v>0</v>
      </c>
      <c r="X41" s="11">
        <f t="shared" si="10"/>
        <v>0</v>
      </c>
      <c r="Y41" s="10">
        <f>IF(AND(W41=1,SUMIFS(Категории!$AI$5:$AI$11,Категории!$A$5:$A$11,B41)&gt;0),X41/SUMIFS(Категории!$AI$5:$AI$11,Категории!$A$5:$A$11,B41),0)</f>
        <v>0</v>
      </c>
      <c r="Z41" s="11">
        <f>Y41*SUMIFS(Категории!$AJ$5:$AJ$11,Категории!$A$5:$A$11,B41)</f>
        <v>0</v>
      </c>
      <c r="AA41" s="11">
        <f t="shared" si="11"/>
        <v>0</v>
      </c>
      <c r="AB41" s="11">
        <f t="shared" si="12"/>
        <v>0</v>
      </c>
      <c r="AC41" s="11">
        <f t="shared" si="13"/>
        <v>0</v>
      </c>
      <c r="AD41" s="12">
        <f t="shared" si="14"/>
        <v>42</v>
      </c>
      <c r="AE41" s="12">
        <f t="shared" si="15"/>
        <v>44</v>
      </c>
      <c r="AF41" s="12">
        <f t="shared" si="16"/>
        <v>30</v>
      </c>
      <c r="AG41" s="12">
        <f t="shared" si="17"/>
        <v>32</v>
      </c>
    </row>
    <row r="42" spans="1:33" x14ac:dyDescent="0.3">
      <c r="A42" s="8" t="s">
        <v>99</v>
      </c>
      <c r="B42" s="8" t="s">
        <v>60</v>
      </c>
      <c r="C42" s="8" t="s">
        <v>66</v>
      </c>
      <c r="D42" s="9">
        <v>1729596.54</v>
      </c>
      <c r="E42" s="9">
        <v>232836.47</v>
      </c>
      <c r="F42" s="8">
        <v>4.9000000000000004</v>
      </c>
      <c r="G42" s="8">
        <v>7</v>
      </c>
      <c r="H42" s="8">
        <v>1</v>
      </c>
      <c r="I42" s="8">
        <v>12</v>
      </c>
      <c r="J42" s="10">
        <f t="shared" si="0"/>
        <v>1</v>
      </c>
      <c r="K42" s="11">
        <f t="shared" si="1"/>
        <v>1729596.54</v>
      </c>
      <c r="L42" s="11">
        <f t="shared" si="2"/>
        <v>232836.47</v>
      </c>
      <c r="M42" s="11">
        <f t="shared" si="3"/>
        <v>1962433.01</v>
      </c>
      <c r="N42" s="11">
        <f t="shared" si="4"/>
        <v>1962433.01</v>
      </c>
      <c r="O42" s="11">
        <f t="shared" si="5"/>
        <v>2878288.9249999998</v>
      </c>
      <c r="P42" s="12">
        <f>IF(AND(C42="F",M42&lt;O42,SUMIFS(Категории!$Z$5:$Z$11,Категории!$A$5:$A$11,B42)=1),1,0)</f>
        <v>1</v>
      </c>
      <c r="Q42" s="11">
        <f t="shared" si="6"/>
        <v>915855.9149999998</v>
      </c>
      <c r="R42" s="10">
        <f>IF(AND(P42=1,SUMIFS(Категории!$AA$5:$AA$11,Категории!$A$5:$A$11,B42)&gt;0),Q42/SUMIFS(Категории!$AA$5:$AA$11,Категории!$A$5:$A$11,B42),0)</f>
        <v>0.23518747844631605</v>
      </c>
      <c r="S42" s="11">
        <f>R42*SUMIFS(Категории!$AB$5:$AB$11,Категории!$A$5:$A$11,B42)</f>
        <v>344009.42091499583</v>
      </c>
      <c r="T42" s="11">
        <f t="shared" si="7"/>
        <v>344009.42091499583</v>
      </c>
      <c r="U42" s="11">
        <f t="shared" si="8"/>
        <v>103202.82627449874</v>
      </c>
      <c r="V42" s="11">
        <f t="shared" si="9"/>
        <v>447212.24718949455</v>
      </c>
      <c r="W42" s="12">
        <f>IF(AND(C42="F",M42&lt;O42,SUMIFS(Категории!$AH$5:$AH$11,Категории!$A$5:$A$11,B42)=1),1,0)</f>
        <v>1</v>
      </c>
      <c r="X42" s="11">
        <f t="shared" si="10"/>
        <v>915855.9149999998</v>
      </c>
      <c r="Y42" s="10">
        <f>IF(AND(W42=1,SUMIFS(Категории!$AI$5:$AI$11,Категории!$A$5:$A$11,B42)&gt;0),X42/SUMIFS(Категории!$AI$5:$AI$11,Категории!$A$5:$A$11,B42),0)</f>
        <v>0.23518747844631605</v>
      </c>
      <c r="Z42" s="11">
        <f>Y42*SUMIFS(Категории!$AJ$5:$AJ$11,Категории!$A$5:$A$11,B42)</f>
        <v>765586.87210168759</v>
      </c>
      <c r="AA42" s="11">
        <f t="shared" si="11"/>
        <v>765586.87210168759</v>
      </c>
      <c r="AB42" s="11">
        <f t="shared" si="12"/>
        <v>229676.06163050627</v>
      </c>
      <c r="AC42" s="11">
        <f t="shared" si="13"/>
        <v>995262.93373219389</v>
      </c>
      <c r="AD42" s="12">
        <f t="shared" si="14"/>
        <v>2</v>
      </c>
      <c r="AE42" s="12">
        <f t="shared" si="15"/>
        <v>44</v>
      </c>
      <c r="AF42" s="12">
        <f t="shared" si="16"/>
        <v>2</v>
      </c>
      <c r="AG42" s="12">
        <f t="shared" si="17"/>
        <v>12</v>
      </c>
    </row>
    <row r="43" spans="1:33" x14ac:dyDescent="0.3">
      <c r="A43" s="8" t="s">
        <v>100</v>
      </c>
      <c r="B43" s="8" t="s">
        <v>60</v>
      </c>
      <c r="C43" s="8" t="s">
        <v>66</v>
      </c>
      <c r="D43" s="9">
        <v>2150264.7400000002</v>
      </c>
      <c r="E43" s="9">
        <v>294671.52</v>
      </c>
      <c r="F43" s="8">
        <v>3.6</v>
      </c>
      <c r="G43" s="8">
        <v>8</v>
      </c>
      <c r="H43" s="8">
        <v>1</v>
      </c>
      <c r="I43" s="8">
        <v>12</v>
      </c>
      <c r="J43" s="10">
        <f t="shared" si="0"/>
        <v>1</v>
      </c>
      <c r="K43" s="11">
        <f t="shared" si="1"/>
        <v>2150264.7400000002</v>
      </c>
      <c r="L43" s="11">
        <f t="shared" si="2"/>
        <v>294671.52</v>
      </c>
      <c r="M43" s="11">
        <f t="shared" si="3"/>
        <v>2444936.2600000002</v>
      </c>
      <c r="N43" s="11">
        <f t="shared" si="4"/>
        <v>2444936.2600000002</v>
      </c>
      <c r="O43" s="11">
        <f t="shared" si="5"/>
        <v>2878288.9249999998</v>
      </c>
      <c r="P43" s="12">
        <f>IF(AND(C43="F",M43&lt;O43,SUMIFS(Категории!$Z$5:$Z$11,Категории!$A$5:$A$11,B43)=1),1,0)</f>
        <v>1</v>
      </c>
      <c r="Q43" s="11">
        <f t="shared" si="6"/>
        <v>433352.66499999957</v>
      </c>
      <c r="R43" s="10">
        <f>IF(AND(P43=1,SUMIFS(Категории!$AA$5:$AA$11,Категории!$A$5:$A$11,B43)&gt;0),Q43/SUMIFS(Категории!$AA$5:$AA$11,Категории!$A$5:$A$11,B43),0)</f>
        <v>0.11128292004244035</v>
      </c>
      <c r="S43" s="11">
        <f>R43*SUMIFS(Категории!$AB$5:$AB$11,Категории!$A$5:$A$11,B43)</f>
        <v>162773.85656085442</v>
      </c>
      <c r="T43" s="11">
        <f t="shared" si="7"/>
        <v>162773.85656085442</v>
      </c>
      <c r="U43" s="11">
        <f t="shared" si="8"/>
        <v>48832.15696825632</v>
      </c>
      <c r="V43" s="11">
        <f t="shared" si="9"/>
        <v>211606.01352911073</v>
      </c>
      <c r="W43" s="12">
        <f>IF(AND(C43="F",M43&lt;O43,SUMIFS(Категории!$AH$5:$AH$11,Категории!$A$5:$A$11,B43)=1),1,0)</f>
        <v>1</v>
      </c>
      <c r="X43" s="11">
        <f t="shared" si="10"/>
        <v>433352.66499999957</v>
      </c>
      <c r="Y43" s="10">
        <f>IF(AND(W43=1,SUMIFS(Категории!$AI$5:$AI$11,Категории!$A$5:$A$11,B43)&gt;0),X43/SUMIFS(Категории!$AI$5:$AI$11,Категории!$A$5:$A$11,B43),0)</f>
        <v>0.11128292004244035</v>
      </c>
      <c r="Z43" s="11">
        <f>Y43*SUMIFS(Категории!$AJ$5:$AJ$11,Категории!$A$5:$A$11,B43)</f>
        <v>362250.33422891662</v>
      </c>
      <c r="AA43" s="11">
        <f t="shared" si="11"/>
        <v>362250.33422891662</v>
      </c>
      <c r="AB43" s="11">
        <f t="shared" si="12"/>
        <v>108675.10026867499</v>
      </c>
      <c r="AC43" s="11">
        <f t="shared" si="13"/>
        <v>470925.43449759157</v>
      </c>
      <c r="AD43" s="12">
        <f t="shared" si="14"/>
        <v>11</v>
      </c>
      <c r="AE43" s="12">
        <f t="shared" si="15"/>
        <v>44</v>
      </c>
      <c r="AF43" s="12">
        <f t="shared" si="16"/>
        <v>5</v>
      </c>
      <c r="AG43" s="12">
        <f t="shared" si="17"/>
        <v>12</v>
      </c>
    </row>
    <row r="44" spans="1:33" x14ac:dyDescent="0.3">
      <c r="A44" s="8" t="s">
        <v>101</v>
      </c>
      <c r="B44" s="8" t="s">
        <v>60</v>
      </c>
      <c r="C44" s="8" t="s">
        <v>61</v>
      </c>
      <c r="D44" s="9">
        <v>4003151.51</v>
      </c>
      <c r="E44" s="9">
        <v>460003.74</v>
      </c>
      <c r="F44" s="8">
        <v>10.199999999999999</v>
      </c>
      <c r="G44" s="8">
        <v>12</v>
      </c>
      <c r="H44" s="8">
        <v>1</v>
      </c>
      <c r="I44" s="8">
        <v>12</v>
      </c>
      <c r="J44" s="10">
        <f t="shared" si="0"/>
        <v>1</v>
      </c>
      <c r="K44" s="11">
        <f t="shared" si="1"/>
        <v>4003151.51</v>
      </c>
      <c r="L44" s="11">
        <f t="shared" si="2"/>
        <v>460003.74</v>
      </c>
      <c r="M44" s="11">
        <f t="shared" si="3"/>
        <v>4463155.25</v>
      </c>
      <c r="N44" s="11">
        <f t="shared" si="4"/>
        <v>4463155.25</v>
      </c>
      <c r="O44" s="11">
        <f t="shared" si="5"/>
        <v>2878288.9249999998</v>
      </c>
      <c r="P44" s="12">
        <f>IF(AND(C44="F",M44&lt;O44,SUMIFS(Категории!$Z$5:$Z$11,Категории!$A$5:$A$11,B44)=1),1,0)</f>
        <v>0</v>
      </c>
      <c r="Q44" s="11">
        <f t="shared" si="6"/>
        <v>0</v>
      </c>
      <c r="R44" s="10">
        <f>IF(AND(P44=1,SUMIFS(Категории!$AA$5:$AA$11,Категории!$A$5:$A$11,B44)&gt;0),Q44/SUMIFS(Категории!$AA$5:$AA$11,Категории!$A$5:$A$11,B44),0)</f>
        <v>0</v>
      </c>
      <c r="S44" s="11">
        <f>R44*SUMIFS(Категории!$AB$5:$AB$11,Категории!$A$5:$A$11,B44)</f>
        <v>0</v>
      </c>
      <c r="T44" s="11">
        <f t="shared" si="7"/>
        <v>0</v>
      </c>
      <c r="U44" s="11">
        <f t="shared" si="8"/>
        <v>0</v>
      </c>
      <c r="V44" s="11">
        <f t="shared" si="9"/>
        <v>0</v>
      </c>
      <c r="W44" s="12">
        <f>IF(AND(C44="F",M44&lt;O44,SUMIFS(Категории!$AH$5:$AH$11,Категории!$A$5:$A$11,B44)=1),1,0)</f>
        <v>0</v>
      </c>
      <c r="X44" s="11">
        <f t="shared" si="10"/>
        <v>0</v>
      </c>
      <c r="Y44" s="10">
        <f>IF(AND(W44=1,SUMIFS(Категории!$AI$5:$AI$11,Категории!$A$5:$A$11,B44)&gt;0),X44/SUMIFS(Категории!$AI$5:$AI$11,Категории!$A$5:$A$11,B44),0)</f>
        <v>0</v>
      </c>
      <c r="Z44" s="11">
        <f>Y44*SUMIFS(Категории!$AJ$5:$AJ$11,Категории!$A$5:$A$11,B44)</f>
        <v>0</v>
      </c>
      <c r="AA44" s="11">
        <f t="shared" si="11"/>
        <v>0</v>
      </c>
      <c r="AB44" s="11">
        <f t="shared" si="12"/>
        <v>0</v>
      </c>
      <c r="AC44" s="11">
        <f t="shared" si="13"/>
        <v>0</v>
      </c>
      <c r="AD44" s="12">
        <f t="shared" si="14"/>
        <v>44</v>
      </c>
      <c r="AE44" s="12">
        <f t="shared" si="15"/>
        <v>44</v>
      </c>
      <c r="AF44" s="12">
        <f t="shared" si="16"/>
        <v>32</v>
      </c>
      <c r="AG44" s="12">
        <f t="shared" si="17"/>
        <v>32</v>
      </c>
    </row>
    <row r="45" spans="1:33" x14ac:dyDescent="0.3">
      <c r="A45" s="8" t="s">
        <v>102</v>
      </c>
      <c r="B45" s="8" t="s">
        <v>60</v>
      </c>
      <c r="C45" s="8" t="s">
        <v>61</v>
      </c>
      <c r="D45" s="9">
        <v>2599109.6800000002</v>
      </c>
      <c r="E45" s="9">
        <v>312637.71999999997</v>
      </c>
      <c r="F45" s="8">
        <v>4.8</v>
      </c>
      <c r="G45" s="8">
        <v>9</v>
      </c>
      <c r="H45" s="8">
        <v>1</v>
      </c>
      <c r="I45" s="8">
        <v>12</v>
      </c>
      <c r="J45" s="10">
        <f t="shared" si="0"/>
        <v>1</v>
      </c>
      <c r="K45" s="11">
        <f t="shared" si="1"/>
        <v>2599109.6800000002</v>
      </c>
      <c r="L45" s="11">
        <f t="shared" si="2"/>
        <v>312637.71999999997</v>
      </c>
      <c r="M45" s="11">
        <f t="shared" si="3"/>
        <v>2911747.4000000004</v>
      </c>
      <c r="N45" s="11">
        <f t="shared" si="4"/>
        <v>2911747.4000000004</v>
      </c>
      <c r="O45" s="11">
        <f t="shared" si="5"/>
        <v>2878288.9249999998</v>
      </c>
      <c r="P45" s="12">
        <f>IF(AND(C45="F",M45&lt;O45,SUMIFS(Категории!$Z$5:$Z$11,Категории!$A$5:$A$11,B45)=1),1,0)</f>
        <v>0</v>
      </c>
      <c r="Q45" s="11">
        <f t="shared" si="6"/>
        <v>0</v>
      </c>
      <c r="R45" s="10">
        <f>IF(AND(P45=1,SUMIFS(Категории!$AA$5:$AA$11,Категории!$A$5:$A$11,B45)&gt;0),Q45/SUMIFS(Категории!$AA$5:$AA$11,Категории!$A$5:$A$11,B45),0)</f>
        <v>0</v>
      </c>
      <c r="S45" s="11">
        <f>R45*SUMIFS(Категории!$AB$5:$AB$11,Категории!$A$5:$A$11,B45)</f>
        <v>0</v>
      </c>
      <c r="T45" s="11">
        <f t="shared" si="7"/>
        <v>0</v>
      </c>
      <c r="U45" s="11">
        <f t="shared" si="8"/>
        <v>0</v>
      </c>
      <c r="V45" s="11">
        <f t="shared" si="9"/>
        <v>0</v>
      </c>
      <c r="W45" s="12">
        <f>IF(AND(C45="F",M45&lt;O45,SUMIFS(Категории!$AH$5:$AH$11,Категории!$A$5:$A$11,B45)=1),1,0)</f>
        <v>0</v>
      </c>
      <c r="X45" s="11">
        <f t="shared" si="10"/>
        <v>0</v>
      </c>
      <c r="Y45" s="10">
        <f>IF(AND(W45=1,SUMIFS(Категории!$AI$5:$AI$11,Категории!$A$5:$A$11,B45)&gt;0),X45/SUMIFS(Категории!$AI$5:$AI$11,Категории!$A$5:$A$11,B45),0)</f>
        <v>0</v>
      </c>
      <c r="Z45" s="11">
        <f>Y45*SUMIFS(Категории!$AJ$5:$AJ$11,Категории!$A$5:$A$11,B45)</f>
        <v>0</v>
      </c>
      <c r="AA45" s="11">
        <f t="shared" si="11"/>
        <v>0</v>
      </c>
      <c r="AB45" s="11">
        <f t="shared" si="12"/>
        <v>0</v>
      </c>
      <c r="AC45" s="11">
        <f t="shared" si="13"/>
        <v>0</v>
      </c>
      <c r="AD45" s="12">
        <f t="shared" si="14"/>
        <v>24</v>
      </c>
      <c r="AE45" s="12">
        <f t="shared" si="15"/>
        <v>44</v>
      </c>
      <c r="AF45" s="12">
        <f t="shared" si="16"/>
        <v>16</v>
      </c>
      <c r="AG45" s="12">
        <f t="shared" si="17"/>
        <v>32</v>
      </c>
    </row>
    <row r="46" spans="1:33" x14ac:dyDescent="0.3">
      <c r="A46" s="8" t="s">
        <v>103</v>
      </c>
      <c r="B46" s="8" t="s">
        <v>60</v>
      </c>
      <c r="C46" s="8" t="s">
        <v>61</v>
      </c>
      <c r="D46" s="9">
        <v>3492482.64</v>
      </c>
      <c r="E46" s="9">
        <v>340536.72</v>
      </c>
      <c r="F46" s="8">
        <v>11</v>
      </c>
      <c r="G46" s="8">
        <v>11</v>
      </c>
      <c r="H46" s="8">
        <v>1</v>
      </c>
      <c r="I46" s="8">
        <v>12</v>
      </c>
      <c r="J46" s="10">
        <f t="shared" si="0"/>
        <v>1</v>
      </c>
      <c r="K46" s="11">
        <f t="shared" si="1"/>
        <v>3492482.64</v>
      </c>
      <c r="L46" s="11">
        <f t="shared" si="2"/>
        <v>340536.72</v>
      </c>
      <c r="M46" s="11">
        <f t="shared" si="3"/>
        <v>3833019.3600000003</v>
      </c>
      <c r="N46" s="11">
        <f t="shared" si="4"/>
        <v>3833019.3600000003</v>
      </c>
      <c r="O46" s="11">
        <f t="shared" si="5"/>
        <v>2878288.9249999998</v>
      </c>
      <c r="P46" s="12">
        <f>IF(AND(C46="F",M46&lt;O46,SUMIFS(Категории!$Z$5:$Z$11,Категории!$A$5:$A$11,B46)=1),1,0)</f>
        <v>0</v>
      </c>
      <c r="Q46" s="11">
        <f t="shared" si="6"/>
        <v>0</v>
      </c>
      <c r="R46" s="10">
        <f>IF(AND(P46=1,SUMIFS(Категории!$AA$5:$AA$11,Категории!$A$5:$A$11,B46)&gt;0),Q46/SUMIFS(Категории!$AA$5:$AA$11,Категории!$A$5:$A$11,B46),0)</f>
        <v>0</v>
      </c>
      <c r="S46" s="11">
        <f>R46*SUMIFS(Категории!$AB$5:$AB$11,Категории!$A$5:$A$11,B46)</f>
        <v>0</v>
      </c>
      <c r="T46" s="11">
        <f t="shared" si="7"/>
        <v>0</v>
      </c>
      <c r="U46" s="11">
        <f t="shared" si="8"/>
        <v>0</v>
      </c>
      <c r="V46" s="11">
        <f t="shared" si="9"/>
        <v>0</v>
      </c>
      <c r="W46" s="12">
        <f>IF(AND(C46="F",M46&lt;O46,SUMIFS(Категории!$AH$5:$AH$11,Категории!$A$5:$A$11,B46)=1),1,0)</f>
        <v>0</v>
      </c>
      <c r="X46" s="11">
        <f t="shared" si="10"/>
        <v>0</v>
      </c>
      <c r="Y46" s="10">
        <f>IF(AND(W46=1,SUMIFS(Категории!$AI$5:$AI$11,Категории!$A$5:$A$11,B46)&gt;0),X46/SUMIFS(Категории!$AI$5:$AI$11,Категории!$A$5:$A$11,B46),0)</f>
        <v>0</v>
      </c>
      <c r="Z46" s="11">
        <f>Y46*SUMIFS(Категории!$AJ$5:$AJ$11,Категории!$A$5:$A$11,B46)</f>
        <v>0</v>
      </c>
      <c r="AA46" s="11">
        <f t="shared" si="11"/>
        <v>0</v>
      </c>
      <c r="AB46" s="11">
        <f t="shared" si="12"/>
        <v>0</v>
      </c>
      <c r="AC46" s="11">
        <f t="shared" si="13"/>
        <v>0</v>
      </c>
      <c r="AD46" s="12">
        <f t="shared" si="14"/>
        <v>41</v>
      </c>
      <c r="AE46" s="12">
        <f t="shared" si="15"/>
        <v>44</v>
      </c>
      <c r="AF46" s="12">
        <f t="shared" si="16"/>
        <v>29</v>
      </c>
      <c r="AG46" s="12">
        <f t="shared" si="17"/>
        <v>32</v>
      </c>
    </row>
    <row r="47" spans="1:33" x14ac:dyDescent="0.3">
      <c r="A47" s="8" t="s">
        <v>104</v>
      </c>
      <c r="B47" s="8" t="s">
        <v>60</v>
      </c>
      <c r="C47" s="8" t="s">
        <v>66</v>
      </c>
      <c r="D47" s="9">
        <v>3055030.03</v>
      </c>
      <c r="E47" s="9">
        <v>296928.46000000002</v>
      </c>
      <c r="F47" s="8">
        <v>7.2</v>
      </c>
      <c r="G47" s="8">
        <v>11</v>
      </c>
      <c r="H47" s="8">
        <v>1</v>
      </c>
      <c r="I47" s="8">
        <v>12</v>
      </c>
      <c r="J47" s="10">
        <f t="shared" si="0"/>
        <v>1</v>
      </c>
      <c r="K47" s="11">
        <f t="shared" si="1"/>
        <v>3055030.03</v>
      </c>
      <c r="L47" s="11">
        <f t="shared" si="2"/>
        <v>296928.46000000002</v>
      </c>
      <c r="M47" s="11">
        <f t="shared" si="3"/>
        <v>3351958.4899999998</v>
      </c>
      <c r="N47" s="11">
        <f t="shared" si="4"/>
        <v>3351958.4899999998</v>
      </c>
      <c r="O47" s="11">
        <f t="shared" si="5"/>
        <v>2878288.9249999998</v>
      </c>
      <c r="P47" s="12">
        <f>IF(AND(C47="F",M47&lt;O47,SUMIFS(Категории!$Z$5:$Z$11,Категории!$A$5:$A$11,B47)=1),1,0)</f>
        <v>0</v>
      </c>
      <c r="Q47" s="11">
        <f t="shared" si="6"/>
        <v>0</v>
      </c>
      <c r="R47" s="10">
        <f>IF(AND(P47=1,SUMIFS(Категории!$AA$5:$AA$11,Категории!$A$5:$A$11,B47)&gt;0),Q47/SUMIFS(Категории!$AA$5:$AA$11,Категории!$A$5:$A$11,B47),0)</f>
        <v>0</v>
      </c>
      <c r="S47" s="11">
        <f>R47*SUMIFS(Категории!$AB$5:$AB$11,Категории!$A$5:$A$11,B47)</f>
        <v>0</v>
      </c>
      <c r="T47" s="11">
        <f t="shared" si="7"/>
        <v>0</v>
      </c>
      <c r="U47" s="11">
        <f t="shared" si="8"/>
        <v>0</v>
      </c>
      <c r="V47" s="11">
        <f t="shared" si="9"/>
        <v>0</v>
      </c>
      <c r="W47" s="12">
        <f>IF(AND(C47="F",M47&lt;O47,SUMIFS(Категории!$AH$5:$AH$11,Категории!$A$5:$A$11,B47)=1),1,0)</f>
        <v>0</v>
      </c>
      <c r="X47" s="11">
        <f t="shared" si="10"/>
        <v>0</v>
      </c>
      <c r="Y47" s="10">
        <f>IF(AND(W47=1,SUMIFS(Категории!$AI$5:$AI$11,Категории!$A$5:$A$11,B47)&gt;0),X47/SUMIFS(Категории!$AI$5:$AI$11,Категории!$A$5:$A$11,B47),0)</f>
        <v>0</v>
      </c>
      <c r="Z47" s="11">
        <f>Y47*SUMIFS(Категории!$AJ$5:$AJ$11,Категории!$A$5:$A$11,B47)</f>
        <v>0</v>
      </c>
      <c r="AA47" s="11">
        <f t="shared" si="11"/>
        <v>0</v>
      </c>
      <c r="AB47" s="11">
        <f t="shared" si="12"/>
        <v>0</v>
      </c>
      <c r="AC47" s="11">
        <f t="shared" si="13"/>
        <v>0</v>
      </c>
      <c r="AD47" s="12">
        <f t="shared" si="14"/>
        <v>34</v>
      </c>
      <c r="AE47" s="12">
        <f t="shared" si="15"/>
        <v>44</v>
      </c>
      <c r="AF47" s="12">
        <f t="shared" si="16"/>
        <v>12</v>
      </c>
      <c r="AG47" s="12">
        <f t="shared" si="17"/>
        <v>12</v>
      </c>
    </row>
    <row r="48" spans="1:33" x14ac:dyDescent="0.3">
      <c r="A48" s="8" t="s">
        <v>105</v>
      </c>
      <c r="B48" s="8" t="s">
        <v>60</v>
      </c>
      <c r="C48" s="8" t="s">
        <v>61</v>
      </c>
      <c r="D48" s="9">
        <v>3181955.36</v>
      </c>
      <c r="E48" s="9">
        <v>349732.95</v>
      </c>
      <c r="F48" s="8">
        <v>7.7</v>
      </c>
      <c r="G48" s="8">
        <v>10</v>
      </c>
      <c r="H48" s="8">
        <v>1</v>
      </c>
      <c r="I48" s="8">
        <v>12</v>
      </c>
      <c r="J48" s="10">
        <f t="shared" si="0"/>
        <v>1</v>
      </c>
      <c r="K48" s="11">
        <f t="shared" si="1"/>
        <v>3181955.36</v>
      </c>
      <c r="L48" s="11">
        <f t="shared" si="2"/>
        <v>349732.95</v>
      </c>
      <c r="M48" s="11">
        <f t="shared" si="3"/>
        <v>3531688.31</v>
      </c>
      <c r="N48" s="11">
        <f t="shared" si="4"/>
        <v>3531688.31</v>
      </c>
      <c r="O48" s="11">
        <f t="shared" si="5"/>
        <v>2878288.9249999998</v>
      </c>
      <c r="P48" s="12">
        <f>IF(AND(C48="F",M48&lt;O48,SUMIFS(Категории!$Z$5:$Z$11,Категории!$A$5:$A$11,B48)=1),1,0)</f>
        <v>0</v>
      </c>
      <c r="Q48" s="11">
        <f t="shared" si="6"/>
        <v>0</v>
      </c>
      <c r="R48" s="10">
        <f>IF(AND(P48=1,SUMIFS(Категории!$AA$5:$AA$11,Категории!$A$5:$A$11,B48)&gt;0),Q48/SUMIFS(Категории!$AA$5:$AA$11,Категории!$A$5:$A$11,B48),0)</f>
        <v>0</v>
      </c>
      <c r="S48" s="11">
        <f>R48*SUMIFS(Категории!$AB$5:$AB$11,Категории!$A$5:$A$11,B48)</f>
        <v>0</v>
      </c>
      <c r="T48" s="11">
        <f t="shared" si="7"/>
        <v>0</v>
      </c>
      <c r="U48" s="11">
        <f t="shared" si="8"/>
        <v>0</v>
      </c>
      <c r="V48" s="11">
        <f t="shared" si="9"/>
        <v>0</v>
      </c>
      <c r="W48" s="12">
        <f>IF(AND(C48="F",M48&lt;O48,SUMIFS(Категории!$AH$5:$AH$11,Категории!$A$5:$A$11,B48)=1),1,0)</f>
        <v>0</v>
      </c>
      <c r="X48" s="11">
        <f t="shared" si="10"/>
        <v>0</v>
      </c>
      <c r="Y48" s="10">
        <f>IF(AND(W48=1,SUMIFS(Категории!$AI$5:$AI$11,Категории!$A$5:$A$11,B48)&gt;0),X48/SUMIFS(Категории!$AI$5:$AI$11,Категории!$A$5:$A$11,B48),0)</f>
        <v>0</v>
      </c>
      <c r="Z48" s="11">
        <f>Y48*SUMIFS(Категории!$AJ$5:$AJ$11,Категории!$A$5:$A$11,B48)</f>
        <v>0</v>
      </c>
      <c r="AA48" s="11">
        <f t="shared" si="11"/>
        <v>0</v>
      </c>
      <c r="AB48" s="11">
        <f t="shared" si="12"/>
        <v>0</v>
      </c>
      <c r="AC48" s="11">
        <f t="shared" si="13"/>
        <v>0</v>
      </c>
      <c r="AD48" s="12">
        <f t="shared" si="14"/>
        <v>38</v>
      </c>
      <c r="AE48" s="12">
        <f t="shared" si="15"/>
        <v>44</v>
      </c>
      <c r="AF48" s="12">
        <f t="shared" si="16"/>
        <v>26</v>
      </c>
      <c r="AG48" s="12">
        <f t="shared" si="17"/>
        <v>32</v>
      </c>
    </row>
    <row r="49" spans="1:33" x14ac:dyDescent="0.3">
      <c r="A49" s="8" t="s">
        <v>106</v>
      </c>
      <c r="B49" s="8" t="s">
        <v>107</v>
      </c>
      <c r="C49" s="8" t="s">
        <v>66</v>
      </c>
      <c r="D49" s="9">
        <v>2006253.24</v>
      </c>
      <c r="E49" s="9">
        <v>146157.81</v>
      </c>
      <c r="F49" s="8">
        <v>5.0999999999999996</v>
      </c>
      <c r="G49" s="8">
        <v>7</v>
      </c>
      <c r="H49" s="8">
        <v>1</v>
      </c>
      <c r="I49" s="8">
        <v>12</v>
      </c>
      <c r="J49" s="10">
        <f t="shared" si="0"/>
        <v>1</v>
      </c>
      <c r="K49" s="11">
        <f t="shared" si="1"/>
        <v>2006253.24</v>
      </c>
      <c r="L49" s="11">
        <f t="shared" si="2"/>
        <v>146157.81</v>
      </c>
      <c r="M49" s="11">
        <f t="shared" si="3"/>
        <v>2152411.0499999998</v>
      </c>
      <c r="N49" s="11">
        <f t="shared" si="4"/>
        <v>2152411.0499999998</v>
      </c>
      <c r="O49" s="11">
        <f t="shared" si="5"/>
        <v>2090862.25</v>
      </c>
      <c r="P49" s="12">
        <f>IF(AND(C49="F",M49&lt;O49,SUMIFS(Категории!$Z$5:$Z$11,Категории!$A$5:$A$11,B49)=1),1,0)</f>
        <v>0</v>
      </c>
      <c r="Q49" s="11">
        <f t="shared" si="6"/>
        <v>0</v>
      </c>
      <c r="R49" s="10">
        <f>IF(AND(P49=1,SUMIFS(Категории!$AA$5:$AA$11,Категории!$A$5:$A$11,B49)&gt;0),Q49/SUMIFS(Категории!$AA$5:$AA$11,Категории!$A$5:$A$11,B49),0)</f>
        <v>0</v>
      </c>
      <c r="S49" s="11">
        <f>R49*SUMIFS(Категории!$AB$5:$AB$11,Категории!$A$5:$A$11,B49)</f>
        <v>0</v>
      </c>
      <c r="T49" s="11">
        <f t="shared" si="7"/>
        <v>0</v>
      </c>
      <c r="U49" s="11">
        <f t="shared" si="8"/>
        <v>0</v>
      </c>
      <c r="V49" s="11">
        <f t="shared" si="9"/>
        <v>0</v>
      </c>
      <c r="W49" s="12">
        <f>IF(AND(C49="F",M49&lt;O49,SUMIFS(Категории!$AH$5:$AH$11,Категории!$A$5:$A$11,B49)=1),1,0)</f>
        <v>0</v>
      </c>
      <c r="X49" s="11">
        <f t="shared" si="10"/>
        <v>0</v>
      </c>
      <c r="Y49" s="10">
        <f>IF(AND(W49=1,SUMIFS(Категории!$AI$5:$AI$11,Категории!$A$5:$A$11,B49)&gt;0),X49/SUMIFS(Категории!$AI$5:$AI$11,Категории!$A$5:$A$11,B49),0)</f>
        <v>0</v>
      </c>
      <c r="Z49" s="11">
        <f>Y49*SUMIFS(Категории!$AJ$5:$AJ$11,Категории!$A$5:$A$11,B49)</f>
        <v>0</v>
      </c>
      <c r="AA49" s="11">
        <f t="shared" si="11"/>
        <v>0</v>
      </c>
      <c r="AB49" s="11">
        <f t="shared" si="12"/>
        <v>0</v>
      </c>
      <c r="AC49" s="11">
        <f t="shared" si="13"/>
        <v>0</v>
      </c>
      <c r="AD49" s="12">
        <f t="shared" si="14"/>
        <v>22</v>
      </c>
      <c r="AE49" s="12">
        <f t="shared" si="15"/>
        <v>38</v>
      </c>
      <c r="AF49" s="12">
        <f t="shared" si="16"/>
        <v>14</v>
      </c>
      <c r="AG49" s="12">
        <f t="shared" si="17"/>
        <v>19</v>
      </c>
    </row>
    <row r="50" spans="1:33" x14ac:dyDescent="0.3">
      <c r="A50" s="8" t="s">
        <v>108</v>
      </c>
      <c r="B50" s="8" t="s">
        <v>107</v>
      </c>
      <c r="C50" s="8" t="s">
        <v>61</v>
      </c>
      <c r="D50" s="9">
        <v>2305533.5499999998</v>
      </c>
      <c r="E50" s="9">
        <v>158087.10999999999</v>
      </c>
      <c r="F50" s="8">
        <v>5.5</v>
      </c>
      <c r="G50" s="8">
        <v>8</v>
      </c>
      <c r="H50" s="8">
        <v>1</v>
      </c>
      <c r="I50" s="8">
        <v>12</v>
      </c>
      <c r="J50" s="10">
        <f t="shared" si="0"/>
        <v>1</v>
      </c>
      <c r="K50" s="11">
        <f t="shared" si="1"/>
        <v>2305533.5499999998</v>
      </c>
      <c r="L50" s="11">
        <f t="shared" si="2"/>
        <v>158087.10999999999</v>
      </c>
      <c r="M50" s="11">
        <f t="shared" si="3"/>
        <v>2463620.6599999997</v>
      </c>
      <c r="N50" s="11">
        <f t="shared" si="4"/>
        <v>2463620.6599999997</v>
      </c>
      <c r="O50" s="11">
        <f t="shared" si="5"/>
        <v>2090862.25</v>
      </c>
      <c r="P50" s="12">
        <f>IF(AND(C50="F",M50&lt;O50,SUMIFS(Категории!$Z$5:$Z$11,Категории!$A$5:$A$11,B50)=1),1,0)</f>
        <v>0</v>
      </c>
      <c r="Q50" s="11">
        <f t="shared" si="6"/>
        <v>0</v>
      </c>
      <c r="R50" s="10">
        <f>IF(AND(P50=1,SUMIFS(Категории!$AA$5:$AA$11,Категории!$A$5:$A$11,B50)&gt;0),Q50/SUMIFS(Категории!$AA$5:$AA$11,Категории!$A$5:$A$11,B50),0)</f>
        <v>0</v>
      </c>
      <c r="S50" s="11">
        <f>R50*SUMIFS(Категории!$AB$5:$AB$11,Категории!$A$5:$A$11,B50)</f>
        <v>0</v>
      </c>
      <c r="T50" s="11">
        <f t="shared" si="7"/>
        <v>0</v>
      </c>
      <c r="U50" s="11">
        <f t="shared" si="8"/>
        <v>0</v>
      </c>
      <c r="V50" s="11">
        <f t="shared" si="9"/>
        <v>0</v>
      </c>
      <c r="W50" s="12">
        <f>IF(AND(C50="F",M50&lt;O50,SUMIFS(Категории!$AH$5:$AH$11,Категории!$A$5:$A$11,B50)=1),1,0)</f>
        <v>0</v>
      </c>
      <c r="X50" s="11">
        <f t="shared" si="10"/>
        <v>0</v>
      </c>
      <c r="Y50" s="10">
        <f>IF(AND(W50=1,SUMIFS(Категории!$AI$5:$AI$11,Категории!$A$5:$A$11,B50)&gt;0),X50/SUMIFS(Категории!$AI$5:$AI$11,Категории!$A$5:$A$11,B50),0)</f>
        <v>0</v>
      </c>
      <c r="Z50" s="11">
        <f>Y50*SUMIFS(Категории!$AJ$5:$AJ$11,Категории!$A$5:$A$11,B50)</f>
        <v>0</v>
      </c>
      <c r="AA50" s="11">
        <f t="shared" si="11"/>
        <v>0</v>
      </c>
      <c r="AB50" s="11">
        <f t="shared" si="12"/>
        <v>0</v>
      </c>
      <c r="AC50" s="11">
        <f t="shared" si="13"/>
        <v>0</v>
      </c>
      <c r="AD50" s="12">
        <f t="shared" si="14"/>
        <v>29</v>
      </c>
      <c r="AE50" s="12">
        <f t="shared" si="15"/>
        <v>38</v>
      </c>
      <c r="AF50" s="12">
        <f t="shared" si="16"/>
        <v>13</v>
      </c>
      <c r="AG50" s="12">
        <f t="shared" si="17"/>
        <v>19</v>
      </c>
    </row>
    <row r="51" spans="1:33" x14ac:dyDescent="0.3">
      <c r="A51" s="8" t="s">
        <v>109</v>
      </c>
      <c r="B51" s="8" t="s">
        <v>107</v>
      </c>
      <c r="C51" s="8" t="s">
        <v>61</v>
      </c>
      <c r="D51" s="9">
        <v>1252581.93</v>
      </c>
      <c r="E51" s="9">
        <v>90392.62</v>
      </c>
      <c r="F51" s="8">
        <v>5.6</v>
      </c>
      <c r="G51" s="8">
        <v>7</v>
      </c>
      <c r="H51" s="8">
        <v>0.6</v>
      </c>
      <c r="I51" s="8">
        <v>12</v>
      </c>
      <c r="J51" s="10">
        <f t="shared" si="0"/>
        <v>0.6</v>
      </c>
      <c r="K51" s="11">
        <f t="shared" si="1"/>
        <v>2087636.55</v>
      </c>
      <c r="L51" s="11">
        <f t="shared" si="2"/>
        <v>150654.36666666667</v>
      </c>
      <c r="M51" s="11">
        <f t="shared" si="3"/>
        <v>2238290.9166666665</v>
      </c>
      <c r="N51" s="11">
        <f t="shared" si="4"/>
        <v>1342974.5499999998</v>
      </c>
      <c r="O51" s="11">
        <f t="shared" si="5"/>
        <v>2090862.25</v>
      </c>
      <c r="P51" s="12">
        <f>IF(AND(C51="F",M51&lt;O51,SUMIFS(Категории!$Z$5:$Z$11,Категории!$A$5:$A$11,B51)=1),1,0)</f>
        <v>0</v>
      </c>
      <c r="Q51" s="11">
        <f t="shared" si="6"/>
        <v>0</v>
      </c>
      <c r="R51" s="10">
        <f>IF(AND(P51=1,SUMIFS(Категории!$AA$5:$AA$11,Категории!$A$5:$A$11,B51)&gt;0),Q51/SUMIFS(Категории!$AA$5:$AA$11,Категории!$A$5:$A$11,B51),0)</f>
        <v>0</v>
      </c>
      <c r="S51" s="11">
        <f>R51*SUMIFS(Категории!$AB$5:$AB$11,Категории!$A$5:$A$11,B51)</f>
        <v>0</v>
      </c>
      <c r="T51" s="11">
        <f t="shared" si="7"/>
        <v>0</v>
      </c>
      <c r="U51" s="11">
        <f t="shared" si="8"/>
        <v>0</v>
      </c>
      <c r="V51" s="11">
        <f t="shared" si="9"/>
        <v>0</v>
      </c>
      <c r="W51" s="12">
        <f>IF(AND(C51="F",M51&lt;O51,SUMIFS(Категории!$AH$5:$AH$11,Категории!$A$5:$A$11,B51)=1),1,0)</f>
        <v>0</v>
      </c>
      <c r="X51" s="11">
        <f t="shared" si="10"/>
        <v>0</v>
      </c>
      <c r="Y51" s="10">
        <f>IF(AND(W51=1,SUMIFS(Категории!$AI$5:$AI$11,Категории!$A$5:$A$11,B51)&gt;0),X51/SUMIFS(Категории!$AI$5:$AI$11,Категории!$A$5:$A$11,B51),0)</f>
        <v>0</v>
      </c>
      <c r="Z51" s="11">
        <f>Y51*SUMIFS(Категории!$AJ$5:$AJ$11,Категории!$A$5:$A$11,B51)</f>
        <v>0</v>
      </c>
      <c r="AA51" s="11">
        <f t="shared" si="11"/>
        <v>0</v>
      </c>
      <c r="AB51" s="11">
        <f t="shared" si="12"/>
        <v>0</v>
      </c>
      <c r="AC51" s="11">
        <f t="shared" si="13"/>
        <v>0</v>
      </c>
      <c r="AD51" s="12">
        <f t="shared" si="14"/>
        <v>24</v>
      </c>
      <c r="AE51" s="12">
        <f t="shared" si="15"/>
        <v>38</v>
      </c>
      <c r="AF51" s="12">
        <f t="shared" si="16"/>
        <v>9</v>
      </c>
      <c r="AG51" s="12">
        <f t="shared" si="17"/>
        <v>19</v>
      </c>
    </row>
    <row r="52" spans="1:33" x14ac:dyDescent="0.3">
      <c r="A52" s="8" t="s">
        <v>110</v>
      </c>
      <c r="B52" s="8" t="s">
        <v>107</v>
      </c>
      <c r="C52" s="8" t="s">
        <v>61</v>
      </c>
      <c r="D52" s="9">
        <v>2436475.7799999998</v>
      </c>
      <c r="E52" s="9">
        <v>150939.73000000001</v>
      </c>
      <c r="F52" s="8">
        <v>9.6999999999999993</v>
      </c>
      <c r="G52" s="8">
        <v>8</v>
      </c>
      <c r="H52" s="8">
        <v>1</v>
      </c>
      <c r="I52" s="8">
        <v>12</v>
      </c>
      <c r="J52" s="10">
        <f t="shared" si="0"/>
        <v>1</v>
      </c>
      <c r="K52" s="11">
        <f t="shared" si="1"/>
        <v>2436475.7799999998</v>
      </c>
      <c r="L52" s="11">
        <f t="shared" si="2"/>
        <v>150939.73000000001</v>
      </c>
      <c r="M52" s="11">
        <f t="shared" si="3"/>
        <v>2587415.5099999998</v>
      </c>
      <c r="N52" s="11">
        <f t="shared" si="4"/>
        <v>2587415.5099999998</v>
      </c>
      <c r="O52" s="11">
        <f t="shared" si="5"/>
        <v>2090862.25</v>
      </c>
      <c r="P52" s="12">
        <f>IF(AND(C52="F",M52&lt;O52,SUMIFS(Категории!$Z$5:$Z$11,Категории!$A$5:$A$11,B52)=1),1,0)</f>
        <v>0</v>
      </c>
      <c r="Q52" s="11">
        <f t="shared" si="6"/>
        <v>0</v>
      </c>
      <c r="R52" s="10">
        <f>IF(AND(P52=1,SUMIFS(Категории!$AA$5:$AA$11,Категории!$A$5:$A$11,B52)&gt;0),Q52/SUMIFS(Категории!$AA$5:$AA$11,Категории!$A$5:$A$11,B52),0)</f>
        <v>0</v>
      </c>
      <c r="S52" s="11">
        <f>R52*SUMIFS(Категории!$AB$5:$AB$11,Категории!$A$5:$A$11,B52)</f>
        <v>0</v>
      </c>
      <c r="T52" s="11">
        <f t="shared" si="7"/>
        <v>0</v>
      </c>
      <c r="U52" s="11">
        <f t="shared" si="8"/>
        <v>0</v>
      </c>
      <c r="V52" s="11">
        <f t="shared" si="9"/>
        <v>0</v>
      </c>
      <c r="W52" s="12">
        <f>IF(AND(C52="F",M52&lt;O52,SUMIFS(Категории!$AH$5:$AH$11,Категории!$A$5:$A$11,B52)=1),1,0)</f>
        <v>0</v>
      </c>
      <c r="X52" s="11">
        <f t="shared" si="10"/>
        <v>0</v>
      </c>
      <c r="Y52" s="10">
        <f>IF(AND(W52=1,SUMIFS(Категории!$AI$5:$AI$11,Категории!$A$5:$A$11,B52)&gt;0),X52/SUMIFS(Категории!$AI$5:$AI$11,Категории!$A$5:$A$11,B52),0)</f>
        <v>0</v>
      </c>
      <c r="Z52" s="11">
        <f>Y52*SUMIFS(Категории!$AJ$5:$AJ$11,Категории!$A$5:$A$11,B52)</f>
        <v>0</v>
      </c>
      <c r="AA52" s="11">
        <f t="shared" si="11"/>
        <v>0</v>
      </c>
      <c r="AB52" s="11">
        <f t="shared" si="12"/>
        <v>0</v>
      </c>
      <c r="AC52" s="11">
        <f t="shared" si="13"/>
        <v>0</v>
      </c>
      <c r="AD52" s="12">
        <f t="shared" si="14"/>
        <v>31</v>
      </c>
      <c r="AE52" s="12">
        <f t="shared" si="15"/>
        <v>38</v>
      </c>
      <c r="AF52" s="12">
        <f t="shared" si="16"/>
        <v>14</v>
      </c>
      <c r="AG52" s="12">
        <f t="shared" si="17"/>
        <v>19</v>
      </c>
    </row>
    <row r="53" spans="1:33" x14ac:dyDescent="0.3">
      <c r="A53" s="8" t="s">
        <v>111</v>
      </c>
      <c r="B53" s="8" t="s">
        <v>107</v>
      </c>
      <c r="C53" s="8" t="s">
        <v>61</v>
      </c>
      <c r="D53" s="9">
        <v>2843405.13</v>
      </c>
      <c r="E53" s="9">
        <v>242639.92</v>
      </c>
      <c r="F53" s="8">
        <v>9.9</v>
      </c>
      <c r="G53" s="8">
        <v>9</v>
      </c>
      <c r="H53" s="8">
        <v>1</v>
      </c>
      <c r="I53" s="8">
        <v>12</v>
      </c>
      <c r="J53" s="10">
        <f t="shared" si="0"/>
        <v>1</v>
      </c>
      <c r="K53" s="11">
        <f t="shared" si="1"/>
        <v>2843405.13</v>
      </c>
      <c r="L53" s="11">
        <f t="shared" si="2"/>
        <v>242639.92</v>
      </c>
      <c r="M53" s="11">
        <f t="shared" si="3"/>
        <v>3086045.05</v>
      </c>
      <c r="N53" s="11">
        <f t="shared" si="4"/>
        <v>3086045.05</v>
      </c>
      <c r="O53" s="11">
        <f t="shared" si="5"/>
        <v>2090862.25</v>
      </c>
      <c r="P53" s="12">
        <f>IF(AND(C53="F",M53&lt;O53,SUMIFS(Категории!$Z$5:$Z$11,Категории!$A$5:$A$11,B53)=1),1,0)</f>
        <v>0</v>
      </c>
      <c r="Q53" s="11">
        <f t="shared" si="6"/>
        <v>0</v>
      </c>
      <c r="R53" s="10">
        <f>IF(AND(P53=1,SUMIFS(Категории!$AA$5:$AA$11,Категории!$A$5:$A$11,B53)&gt;0),Q53/SUMIFS(Категории!$AA$5:$AA$11,Категории!$A$5:$A$11,B53),0)</f>
        <v>0</v>
      </c>
      <c r="S53" s="11">
        <f>R53*SUMIFS(Категории!$AB$5:$AB$11,Категории!$A$5:$A$11,B53)</f>
        <v>0</v>
      </c>
      <c r="T53" s="11">
        <f t="shared" si="7"/>
        <v>0</v>
      </c>
      <c r="U53" s="11">
        <f t="shared" si="8"/>
        <v>0</v>
      </c>
      <c r="V53" s="11">
        <f t="shared" si="9"/>
        <v>0</v>
      </c>
      <c r="W53" s="12">
        <f>IF(AND(C53="F",M53&lt;O53,SUMIFS(Категории!$AH$5:$AH$11,Категории!$A$5:$A$11,B53)=1),1,0)</f>
        <v>0</v>
      </c>
      <c r="X53" s="11">
        <f t="shared" si="10"/>
        <v>0</v>
      </c>
      <c r="Y53" s="10">
        <f>IF(AND(W53=1,SUMIFS(Категории!$AI$5:$AI$11,Категории!$A$5:$A$11,B53)&gt;0),X53/SUMIFS(Категории!$AI$5:$AI$11,Категории!$A$5:$A$11,B53),0)</f>
        <v>0</v>
      </c>
      <c r="Z53" s="11">
        <f>Y53*SUMIFS(Категории!$AJ$5:$AJ$11,Категории!$A$5:$A$11,B53)</f>
        <v>0</v>
      </c>
      <c r="AA53" s="11">
        <f t="shared" si="11"/>
        <v>0</v>
      </c>
      <c r="AB53" s="11">
        <f t="shared" si="12"/>
        <v>0</v>
      </c>
      <c r="AC53" s="11">
        <f t="shared" si="13"/>
        <v>0</v>
      </c>
      <c r="AD53" s="12">
        <f t="shared" si="14"/>
        <v>35</v>
      </c>
      <c r="AE53" s="12">
        <f t="shared" si="15"/>
        <v>38</v>
      </c>
      <c r="AF53" s="12">
        <f t="shared" si="16"/>
        <v>18</v>
      </c>
      <c r="AG53" s="12">
        <f t="shared" si="17"/>
        <v>19</v>
      </c>
    </row>
    <row r="54" spans="1:33" x14ac:dyDescent="0.3">
      <c r="A54" s="8" t="s">
        <v>112</v>
      </c>
      <c r="B54" s="8" t="s">
        <v>107</v>
      </c>
      <c r="C54" s="8" t="s">
        <v>61</v>
      </c>
      <c r="D54" s="9">
        <v>1824274.33</v>
      </c>
      <c r="E54" s="9">
        <v>111772.22</v>
      </c>
      <c r="F54" s="8">
        <v>4</v>
      </c>
      <c r="G54" s="8">
        <v>6</v>
      </c>
      <c r="H54" s="8">
        <v>1</v>
      </c>
      <c r="I54" s="8">
        <v>12</v>
      </c>
      <c r="J54" s="10">
        <f t="shared" si="0"/>
        <v>1</v>
      </c>
      <c r="K54" s="11">
        <f t="shared" si="1"/>
        <v>1824274.33</v>
      </c>
      <c r="L54" s="11">
        <f t="shared" si="2"/>
        <v>111772.22</v>
      </c>
      <c r="M54" s="11">
        <f t="shared" si="3"/>
        <v>1936046.55</v>
      </c>
      <c r="N54" s="11">
        <f t="shared" si="4"/>
        <v>1936046.55</v>
      </c>
      <c r="O54" s="11">
        <f t="shared" si="5"/>
        <v>2090862.25</v>
      </c>
      <c r="P54" s="12">
        <f>IF(AND(C54="F",M54&lt;O54,SUMIFS(Категории!$Z$5:$Z$11,Категории!$A$5:$A$11,B54)=1),1,0)</f>
        <v>0</v>
      </c>
      <c r="Q54" s="11">
        <f t="shared" si="6"/>
        <v>0</v>
      </c>
      <c r="R54" s="10">
        <f>IF(AND(P54=1,SUMIFS(Категории!$AA$5:$AA$11,Категории!$A$5:$A$11,B54)&gt;0),Q54/SUMIFS(Категории!$AA$5:$AA$11,Категории!$A$5:$A$11,B54),0)</f>
        <v>0</v>
      </c>
      <c r="S54" s="11">
        <f>R54*SUMIFS(Категории!$AB$5:$AB$11,Категории!$A$5:$A$11,B54)</f>
        <v>0</v>
      </c>
      <c r="T54" s="11">
        <f t="shared" si="7"/>
        <v>0</v>
      </c>
      <c r="U54" s="11">
        <f t="shared" si="8"/>
        <v>0</v>
      </c>
      <c r="V54" s="11">
        <f t="shared" si="9"/>
        <v>0</v>
      </c>
      <c r="W54" s="12">
        <f>IF(AND(C54="F",M54&lt;O54,SUMIFS(Категории!$AH$5:$AH$11,Категории!$A$5:$A$11,B54)=1),1,0)</f>
        <v>0</v>
      </c>
      <c r="X54" s="11">
        <f t="shared" si="10"/>
        <v>0</v>
      </c>
      <c r="Y54" s="10">
        <f>IF(AND(W54=1,SUMIFS(Категории!$AI$5:$AI$11,Категории!$A$5:$A$11,B54)&gt;0),X54/SUMIFS(Категории!$AI$5:$AI$11,Категории!$A$5:$A$11,B54),0)</f>
        <v>0</v>
      </c>
      <c r="Z54" s="11">
        <f>Y54*SUMIFS(Категории!$AJ$5:$AJ$11,Категории!$A$5:$A$11,B54)</f>
        <v>0</v>
      </c>
      <c r="AA54" s="11">
        <f t="shared" si="11"/>
        <v>0</v>
      </c>
      <c r="AB54" s="11">
        <f t="shared" si="12"/>
        <v>0</v>
      </c>
      <c r="AC54" s="11">
        <f t="shared" si="13"/>
        <v>0</v>
      </c>
      <c r="AD54" s="12">
        <f t="shared" si="14"/>
        <v>15</v>
      </c>
      <c r="AE54" s="12">
        <f t="shared" si="15"/>
        <v>38</v>
      </c>
      <c r="AF54" s="12">
        <f t="shared" si="16"/>
        <v>5</v>
      </c>
      <c r="AG54" s="12">
        <f t="shared" si="17"/>
        <v>19</v>
      </c>
    </row>
    <row r="55" spans="1:33" x14ac:dyDescent="0.3">
      <c r="A55" s="8" t="s">
        <v>113</v>
      </c>
      <c r="B55" s="8" t="s">
        <v>107</v>
      </c>
      <c r="C55" s="8" t="s">
        <v>61</v>
      </c>
      <c r="D55" s="9">
        <v>1790878.36</v>
      </c>
      <c r="E55" s="9">
        <v>120151.34</v>
      </c>
      <c r="F55" s="8">
        <v>6.6</v>
      </c>
      <c r="G55" s="8">
        <v>6</v>
      </c>
      <c r="H55" s="8">
        <v>1</v>
      </c>
      <c r="I55" s="8">
        <v>12</v>
      </c>
      <c r="J55" s="10">
        <f t="shared" si="0"/>
        <v>1</v>
      </c>
      <c r="K55" s="11">
        <f t="shared" si="1"/>
        <v>1790878.36</v>
      </c>
      <c r="L55" s="11">
        <f t="shared" si="2"/>
        <v>120151.34</v>
      </c>
      <c r="M55" s="11">
        <f t="shared" si="3"/>
        <v>1911029.7000000002</v>
      </c>
      <c r="N55" s="11">
        <f t="shared" si="4"/>
        <v>1911029.7000000002</v>
      </c>
      <c r="O55" s="11">
        <f t="shared" si="5"/>
        <v>2090862.25</v>
      </c>
      <c r="P55" s="12">
        <f>IF(AND(C55="F",M55&lt;O55,SUMIFS(Категории!$Z$5:$Z$11,Категории!$A$5:$A$11,B55)=1),1,0)</f>
        <v>0</v>
      </c>
      <c r="Q55" s="11">
        <f t="shared" si="6"/>
        <v>0</v>
      </c>
      <c r="R55" s="10">
        <f>IF(AND(P55=1,SUMIFS(Категории!$AA$5:$AA$11,Категории!$A$5:$A$11,B55)&gt;0),Q55/SUMIFS(Категории!$AA$5:$AA$11,Категории!$A$5:$A$11,B55),0)</f>
        <v>0</v>
      </c>
      <c r="S55" s="11">
        <f>R55*SUMIFS(Категории!$AB$5:$AB$11,Категории!$A$5:$A$11,B55)</f>
        <v>0</v>
      </c>
      <c r="T55" s="11">
        <f t="shared" si="7"/>
        <v>0</v>
      </c>
      <c r="U55" s="11">
        <f t="shared" si="8"/>
        <v>0</v>
      </c>
      <c r="V55" s="11">
        <f t="shared" si="9"/>
        <v>0</v>
      </c>
      <c r="W55" s="12">
        <f>IF(AND(C55="F",M55&lt;O55,SUMIFS(Категории!$AH$5:$AH$11,Категории!$A$5:$A$11,B55)=1),1,0)</f>
        <v>0</v>
      </c>
      <c r="X55" s="11">
        <f t="shared" si="10"/>
        <v>0</v>
      </c>
      <c r="Y55" s="10">
        <f>IF(AND(W55=1,SUMIFS(Категории!$AI$5:$AI$11,Категории!$A$5:$A$11,B55)&gt;0),X55/SUMIFS(Категории!$AI$5:$AI$11,Категории!$A$5:$A$11,B55),0)</f>
        <v>0</v>
      </c>
      <c r="Z55" s="11">
        <f>Y55*SUMIFS(Категории!$AJ$5:$AJ$11,Категории!$A$5:$A$11,B55)</f>
        <v>0</v>
      </c>
      <c r="AA55" s="11">
        <f t="shared" si="11"/>
        <v>0</v>
      </c>
      <c r="AB55" s="11">
        <f t="shared" si="12"/>
        <v>0</v>
      </c>
      <c r="AC55" s="11">
        <f t="shared" si="13"/>
        <v>0</v>
      </c>
      <c r="AD55" s="12">
        <f t="shared" si="14"/>
        <v>14</v>
      </c>
      <c r="AE55" s="12">
        <f t="shared" si="15"/>
        <v>38</v>
      </c>
      <c r="AF55" s="12">
        <f t="shared" si="16"/>
        <v>4</v>
      </c>
      <c r="AG55" s="12">
        <f t="shared" si="17"/>
        <v>19</v>
      </c>
    </row>
    <row r="56" spans="1:33" x14ac:dyDescent="0.3">
      <c r="A56" s="8" t="s">
        <v>114</v>
      </c>
      <c r="B56" s="8" t="s">
        <v>107</v>
      </c>
      <c r="C56" s="8" t="s">
        <v>61</v>
      </c>
      <c r="D56" s="9">
        <v>1783371.6</v>
      </c>
      <c r="E56" s="9">
        <v>116779.52</v>
      </c>
      <c r="F56" s="8">
        <v>5.3</v>
      </c>
      <c r="G56" s="8">
        <v>7</v>
      </c>
      <c r="H56" s="8">
        <v>1</v>
      </c>
      <c r="I56" s="8">
        <v>10</v>
      </c>
      <c r="J56" s="10">
        <f t="shared" si="0"/>
        <v>0.83333333333333337</v>
      </c>
      <c r="K56" s="11">
        <f t="shared" si="1"/>
        <v>2140045.92</v>
      </c>
      <c r="L56" s="11">
        <f t="shared" si="2"/>
        <v>140135.424</v>
      </c>
      <c r="M56" s="11">
        <f t="shared" si="3"/>
        <v>2280181.344</v>
      </c>
      <c r="N56" s="11">
        <f t="shared" si="4"/>
        <v>1900151.12</v>
      </c>
      <c r="O56" s="11">
        <f t="shared" si="5"/>
        <v>2090862.25</v>
      </c>
      <c r="P56" s="12">
        <f>IF(AND(C56="F",M56&lt;O56,SUMIFS(Категории!$Z$5:$Z$11,Категории!$A$5:$A$11,B56)=1),1,0)</f>
        <v>0</v>
      </c>
      <c r="Q56" s="11">
        <f t="shared" si="6"/>
        <v>0</v>
      </c>
      <c r="R56" s="10">
        <f>IF(AND(P56=1,SUMIFS(Категории!$AA$5:$AA$11,Категории!$A$5:$A$11,B56)&gt;0),Q56/SUMIFS(Категории!$AA$5:$AA$11,Категории!$A$5:$A$11,B56),0)</f>
        <v>0</v>
      </c>
      <c r="S56" s="11">
        <f>R56*SUMIFS(Категории!$AB$5:$AB$11,Категории!$A$5:$A$11,B56)</f>
        <v>0</v>
      </c>
      <c r="T56" s="11">
        <f t="shared" si="7"/>
        <v>0</v>
      </c>
      <c r="U56" s="11">
        <f t="shared" si="8"/>
        <v>0</v>
      </c>
      <c r="V56" s="11">
        <f t="shared" si="9"/>
        <v>0</v>
      </c>
      <c r="W56" s="12">
        <f>IF(AND(C56="F",M56&lt;O56,SUMIFS(Категории!$AH$5:$AH$11,Категории!$A$5:$A$11,B56)=1),1,0)</f>
        <v>0</v>
      </c>
      <c r="X56" s="11">
        <f t="shared" si="10"/>
        <v>0</v>
      </c>
      <c r="Y56" s="10">
        <f>IF(AND(W56=1,SUMIFS(Категории!$AI$5:$AI$11,Категории!$A$5:$A$11,B56)&gt;0),X56/SUMIFS(Категории!$AI$5:$AI$11,Категории!$A$5:$A$11,B56),0)</f>
        <v>0</v>
      </c>
      <c r="Z56" s="11">
        <f>Y56*SUMIFS(Категории!$AJ$5:$AJ$11,Категории!$A$5:$A$11,B56)</f>
        <v>0</v>
      </c>
      <c r="AA56" s="11">
        <f t="shared" si="11"/>
        <v>0</v>
      </c>
      <c r="AB56" s="11">
        <f t="shared" si="12"/>
        <v>0</v>
      </c>
      <c r="AC56" s="11">
        <f t="shared" si="13"/>
        <v>0</v>
      </c>
      <c r="AD56" s="12">
        <f t="shared" si="14"/>
        <v>25</v>
      </c>
      <c r="AE56" s="12">
        <f t="shared" si="15"/>
        <v>38</v>
      </c>
      <c r="AF56" s="12">
        <f t="shared" si="16"/>
        <v>10</v>
      </c>
      <c r="AG56" s="12">
        <f t="shared" si="17"/>
        <v>19</v>
      </c>
    </row>
    <row r="57" spans="1:33" x14ac:dyDescent="0.3">
      <c r="A57" s="8" t="s">
        <v>115</v>
      </c>
      <c r="B57" s="8" t="s">
        <v>107</v>
      </c>
      <c r="C57" s="8" t="s">
        <v>61</v>
      </c>
      <c r="D57" s="9">
        <v>1532814.89</v>
      </c>
      <c r="E57" s="9">
        <v>119757.14</v>
      </c>
      <c r="F57" s="8">
        <v>4.5</v>
      </c>
      <c r="G57" s="8">
        <v>5</v>
      </c>
      <c r="H57" s="8">
        <v>1</v>
      </c>
      <c r="I57" s="8">
        <v>12</v>
      </c>
      <c r="J57" s="10">
        <f t="shared" si="0"/>
        <v>1</v>
      </c>
      <c r="K57" s="11">
        <f t="shared" si="1"/>
        <v>1532814.89</v>
      </c>
      <c r="L57" s="11">
        <f t="shared" si="2"/>
        <v>119757.14</v>
      </c>
      <c r="M57" s="11">
        <f t="shared" si="3"/>
        <v>1652572.0299999998</v>
      </c>
      <c r="N57" s="11">
        <f t="shared" si="4"/>
        <v>1652572.0299999998</v>
      </c>
      <c r="O57" s="11">
        <f t="shared" si="5"/>
        <v>2090862.25</v>
      </c>
      <c r="P57" s="12">
        <f>IF(AND(C57="F",M57&lt;O57,SUMIFS(Категории!$Z$5:$Z$11,Категории!$A$5:$A$11,B57)=1),1,0)</f>
        <v>0</v>
      </c>
      <c r="Q57" s="11">
        <f t="shared" si="6"/>
        <v>0</v>
      </c>
      <c r="R57" s="10">
        <f>IF(AND(P57=1,SUMIFS(Категории!$AA$5:$AA$11,Категории!$A$5:$A$11,B57)&gt;0),Q57/SUMIFS(Категории!$AA$5:$AA$11,Категории!$A$5:$A$11,B57),0)</f>
        <v>0</v>
      </c>
      <c r="S57" s="11">
        <f>R57*SUMIFS(Категории!$AB$5:$AB$11,Категории!$A$5:$A$11,B57)</f>
        <v>0</v>
      </c>
      <c r="T57" s="11">
        <f t="shared" si="7"/>
        <v>0</v>
      </c>
      <c r="U57" s="11">
        <f t="shared" si="8"/>
        <v>0</v>
      </c>
      <c r="V57" s="11">
        <f t="shared" si="9"/>
        <v>0</v>
      </c>
      <c r="W57" s="12">
        <f>IF(AND(C57="F",M57&lt;O57,SUMIFS(Категории!$AH$5:$AH$11,Категории!$A$5:$A$11,B57)=1),1,0)</f>
        <v>0</v>
      </c>
      <c r="X57" s="11">
        <f t="shared" si="10"/>
        <v>0</v>
      </c>
      <c r="Y57" s="10">
        <f>IF(AND(W57=1,SUMIFS(Категории!$AI$5:$AI$11,Категории!$A$5:$A$11,B57)&gt;0),X57/SUMIFS(Категории!$AI$5:$AI$11,Категории!$A$5:$A$11,B57),0)</f>
        <v>0</v>
      </c>
      <c r="Z57" s="11">
        <f>Y57*SUMIFS(Категории!$AJ$5:$AJ$11,Категории!$A$5:$A$11,B57)</f>
        <v>0</v>
      </c>
      <c r="AA57" s="11">
        <f t="shared" si="11"/>
        <v>0</v>
      </c>
      <c r="AB57" s="11">
        <f t="shared" si="12"/>
        <v>0</v>
      </c>
      <c r="AC57" s="11">
        <f t="shared" si="13"/>
        <v>0</v>
      </c>
      <c r="AD57" s="12">
        <f t="shared" si="14"/>
        <v>3</v>
      </c>
      <c r="AE57" s="12">
        <f t="shared" si="15"/>
        <v>38</v>
      </c>
      <c r="AF57" s="12">
        <f t="shared" si="16"/>
        <v>1</v>
      </c>
      <c r="AG57" s="12">
        <f t="shared" si="17"/>
        <v>19</v>
      </c>
    </row>
    <row r="58" spans="1:33" x14ac:dyDescent="0.3">
      <c r="A58" s="8" t="s">
        <v>116</v>
      </c>
      <c r="B58" s="8" t="s">
        <v>107</v>
      </c>
      <c r="C58" s="8" t="s">
        <v>66</v>
      </c>
      <c r="D58" s="9">
        <v>1677863.94</v>
      </c>
      <c r="E58" s="9">
        <v>139303.71</v>
      </c>
      <c r="F58" s="8">
        <v>2.2999999999999998</v>
      </c>
      <c r="G58" s="8">
        <v>6</v>
      </c>
      <c r="H58" s="8">
        <v>1</v>
      </c>
      <c r="I58" s="8">
        <v>12</v>
      </c>
      <c r="J58" s="10">
        <f t="shared" si="0"/>
        <v>1</v>
      </c>
      <c r="K58" s="11">
        <f t="shared" si="1"/>
        <v>1677863.94</v>
      </c>
      <c r="L58" s="11">
        <f t="shared" si="2"/>
        <v>139303.71</v>
      </c>
      <c r="M58" s="11">
        <f t="shared" si="3"/>
        <v>1817167.65</v>
      </c>
      <c r="N58" s="11">
        <f t="shared" si="4"/>
        <v>1817167.65</v>
      </c>
      <c r="O58" s="11">
        <f t="shared" si="5"/>
        <v>2090862.25</v>
      </c>
      <c r="P58" s="12">
        <f>IF(AND(C58="F",M58&lt;O58,SUMIFS(Категории!$Z$5:$Z$11,Категории!$A$5:$A$11,B58)=1),1,0)</f>
        <v>0</v>
      </c>
      <c r="Q58" s="11">
        <f t="shared" si="6"/>
        <v>0</v>
      </c>
      <c r="R58" s="10">
        <f>IF(AND(P58=1,SUMIFS(Категории!$AA$5:$AA$11,Категории!$A$5:$A$11,B58)&gt;0),Q58/SUMIFS(Категории!$AA$5:$AA$11,Категории!$A$5:$A$11,B58),0)</f>
        <v>0</v>
      </c>
      <c r="S58" s="11">
        <f>R58*SUMIFS(Категории!$AB$5:$AB$11,Категории!$A$5:$A$11,B58)</f>
        <v>0</v>
      </c>
      <c r="T58" s="11">
        <f t="shared" si="7"/>
        <v>0</v>
      </c>
      <c r="U58" s="11">
        <f t="shared" si="8"/>
        <v>0</v>
      </c>
      <c r="V58" s="11">
        <f t="shared" si="9"/>
        <v>0</v>
      </c>
      <c r="W58" s="12">
        <f>IF(AND(C58="F",M58&lt;O58,SUMIFS(Категории!$AH$5:$AH$11,Категории!$A$5:$A$11,B58)=1),1,0)</f>
        <v>1</v>
      </c>
      <c r="X58" s="11">
        <f t="shared" si="10"/>
        <v>273694.60000000009</v>
      </c>
      <c r="Y58" s="10">
        <f>IF(AND(W58=1,SUMIFS(Категории!$AI$5:$AI$11,Категории!$A$5:$A$11,B58)&gt;0),X58/SUMIFS(Категории!$AI$5:$AI$11,Категории!$A$5:$A$11,B58),0)</f>
        <v>7.2234968090859941E-2</v>
      </c>
      <c r="Z58" s="11">
        <f>Y58*SUMIFS(Категории!$AJ$5:$AJ$11,Категории!$A$5:$A$11,B58)</f>
        <v>46889.703888202472</v>
      </c>
      <c r="AA58" s="11">
        <f t="shared" si="11"/>
        <v>46889.703888202472</v>
      </c>
      <c r="AB58" s="11">
        <f t="shared" si="12"/>
        <v>14066.911166460741</v>
      </c>
      <c r="AC58" s="11">
        <f t="shared" si="13"/>
        <v>60956.615054663213</v>
      </c>
      <c r="AD58" s="12">
        <f t="shared" si="14"/>
        <v>11</v>
      </c>
      <c r="AE58" s="12">
        <f t="shared" si="15"/>
        <v>38</v>
      </c>
      <c r="AF58" s="12">
        <f t="shared" si="16"/>
        <v>9</v>
      </c>
      <c r="AG58" s="12">
        <f t="shared" si="17"/>
        <v>19</v>
      </c>
    </row>
    <row r="59" spans="1:33" x14ac:dyDescent="0.3">
      <c r="A59" s="8" t="s">
        <v>117</v>
      </c>
      <c r="B59" s="8" t="s">
        <v>107</v>
      </c>
      <c r="C59" s="8" t="s">
        <v>66</v>
      </c>
      <c r="D59" s="9">
        <v>2128239.91</v>
      </c>
      <c r="E59" s="9">
        <v>156033.67000000001</v>
      </c>
      <c r="F59" s="8">
        <v>5.9</v>
      </c>
      <c r="G59" s="8">
        <v>7</v>
      </c>
      <c r="H59" s="8">
        <v>1</v>
      </c>
      <c r="I59" s="8">
        <v>12</v>
      </c>
      <c r="J59" s="10">
        <f t="shared" si="0"/>
        <v>1</v>
      </c>
      <c r="K59" s="11">
        <f t="shared" si="1"/>
        <v>2128239.91</v>
      </c>
      <c r="L59" s="11">
        <f t="shared" si="2"/>
        <v>156033.67000000001</v>
      </c>
      <c r="M59" s="11">
        <f t="shared" si="3"/>
        <v>2284273.58</v>
      </c>
      <c r="N59" s="11">
        <f t="shared" si="4"/>
        <v>2284273.58</v>
      </c>
      <c r="O59" s="11">
        <f t="shared" si="5"/>
        <v>2090862.25</v>
      </c>
      <c r="P59" s="12">
        <f>IF(AND(C59="F",M59&lt;O59,SUMIFS(Категории!$Z$5:$Z$11,Категории!$A$5:$A$11,B59)=1),1,0)</f>
        <v>0</v>
      </c>
      <c r="Q59" s="11">
        <f t="shared" si="6"/>
        <v>0</v>
      </c>
      <c r="R59" s="10">
        <f>IF(AND(P59=1,SUMIFS(Категории!$AA$5:$AA$11,Категории!$A$5:$A$11,B59)&gt;0),Q59/SUMIFS(Категории!$AA$5:$AA$11,Категории!$A$5:$A$11,B59),0)</f>
        <v>0</v>
      </c>
      <c r="S59" s="11">
        <f>R59*SUMIFS(Категории!$AB$5:$AB$11,Категории!$A$5:$A$11,B59)</f>
        <v>0</v>
      </c>
      <c r="T59" s="11">
        <f t="shared" si="7"/>
        <v>0</v>
      </c>
      <c r="U59" s="11">
        <f t="shared" si="8"/>
        <v>0</v>
      </c>
      <c r="V59" s="11">
        <f t="shared" si="9"/>
        <v>0</v>
      </c>
      <c r="W59" s="12">
        <f>IF(AND(C59="F",M59&lt;O59,SUMIFS(Категории!$AH$5:$AH$11,Категории!$A$5:$A$11,B59)=1),1,0)</f>
        <v>0</v>
      </c>
      <c r="X59" s="11">
        <f t="shared" si="10"/>
        <v>0</v>
      </c>
      <c r="Y59" s="10">
        <f>IF(AND(W59=1,SUMIFS(Категории!$AI$5:$AI$11,Категории!$A$5:$A$11,B59)&gt;0),X59/SUMIFS(Категории!$AI$5:$AI$11,Категории!$A$5:$A$11,B59),0)</f>
        <v>0</v>
      </c>
      <c r="Z59" s="11">
        <f>Y59*SUMIFS(Категории!$AJ$5:$AJ$11,Категории!$A$5:$A$11,B59)</f>
        <v>0</v>
      </c>
      <c r="AA59" s="11">
        <f t="shared" si="11"/>
        <v>0</v>
      </c>
      <c r="AB59" s="11">
        <f t="shared" si="12"/>
        <v>0</v>
      </c>
      <c r="AC59" s="11">
        <f t="shared" si="13"/>
        <v>0</v>
      </c>
      <c r="AD59" s="12">
        <f t="shared" si="14"/>
        <v>26</v>
      </c>
      <c r="AE59" s="12">
        <f t="shared" si="15"/>
        <v>38</v>
      </c>
      <c r="AF59" s="12">
        <f t="shared" si="16"/>
        <v>16</v>
      </c>
      <c r="AG59" s="12">
        <f t="shared" si="17"/>
        <v>19</v>
      </c>
    </row>
    <row r="60" spans="1:33" x14ac:dyDescent="0.3">
      <c r="A60" s="8" t="s">
        <v>118</v>
      </c>
      <c r="B60" s="8" t="s">
        <v>107</v>
      </c>
      <c r="C60" s="8" t="s">
        <v>66</v>
      </c>
      <c r="D60" s="9">
        <v>1629134.77</v>
      </c>
      <c r="E60" s="9">
        <v>148380.59</v>
      </c>
      <c r="F60" s="8">
        <v>3</v>
      </c>
      <c r="G60" s="8">
        <v>5</v>
      </c>
      <c r="H60" s="8">
        <v>1</v>
      </c>
      <c r="I60" s="8">
        <v>12</v>
      </c>
      <c r="J60" s="10">
        <f t="shared" si="0"/>
        <v>1</v>
      </c>
      <c r="K60" s="11">
        <f t="shared" si="1"/>
        <v>1629134.77</v>
      </c>
      <c r="L60" s="11">
        <f t="shared" si="2"/>
        <v>148380.59</v>
      </c>
      <c r="M60" s="11">
        <f t="shared" si="3"/>
        <v>1777515.36</v>
      </c>
      <c r="N60" s="11">
        <f t="shared" si="4"/>
        <v>1777515.36</v>
      </c>
      <c r="O60" s="11">
        <f t="shared" si="5"/>
        <v>2090862.25</v>
      </c>
      <c r="P60" s="12">
        <f>IF(AND(C60="F",M60&lt;O60,SUMIFS(Категории!$Z$5:$Z$11,Категории!$A$5:$A$11,B60)=1),1,0)</f>
        <v>0</v>
      </c>
      <c r="Q60" s="11">
        <f t="shared" si="6"/>
        <v>0</v>
      </c>
      <c r="R60" s="10">
        <f>IF(AND(P60=1,SUMIFS(Категории!$AA$5:$AA$11,Категории!$A$5:$A$11,B60)&gt;0),Q60/SUMIFS(Категории!$AA$5:$AA$11,Категории!$A$5:$A$11,B60),0)</f>
        <v>0</v>
      </c>
      <c r="S60" s="11">
        <f>R60*SUMIFS(Категории!$AB$5:$AB$11,Категории!$A$5:$A$11,B60)</f>
        <v>0</v>
      </c>
      <c r="T60" s="11">
        <f t="shared" si="7"/>
        <v>0</v>
      </c>
      <c r="U60" s="11">
        <f t="shared" si="8"/>
        <v>0</v>
      </c>
      <c r="V60" s="11">
        <f t="shared" si="9"/>
        <v>0</v>
      </c>
      <c r="W60" s="12">
        <f>IF(AND(C60="F",M60&lt;O60,SUMIFS(Категории!$AH$5:$AH$11,Категории!$A$5:$A$11,B60)=1),1,0)</f>
        <v>1</v>
      </c>
      <c r="X60" s="11">
        <f t="shared" si="10"/>
        <v>313346.8899999999</v>
      </c>
      <c r="Y60" s="10">
        <f>IF(AND(W60=1,SUMIFS(Категории!$AI$5:$AI$11,Категории!$A$5:$A$11,B60)&gt;0),X60/SUMIFS(Категории!$AI$5:$AI$11,Категории!$A$5:$A$11,B60),0)</f>
        <v>8.2700216228307699E-2</v>
      </c>
      <c r="Z60" s="11">
        <f>Y60*SUMIFS(Категории!$AJ$5:$AJ$11,Категории!$A$5:$A$11,B60)</f>
        <v>53682.984196214107</v>
      </c>
      <c r="AA60" s="11">
        <f t="shared" si="11"/>
        <v>53682.984196214107</v>
      </c>
      <c r="AB60" s="11">
        <f t="shared" si="12"/>
        <v>16104.895258864231</v>
      </c>
      <c r="AC60" s="11">
        <f t="shared" si="13"/>
        <v>69787.879455078335</v>
      </c>
      <c r="AD60" s="12">
        <f t="shared" si="14"/>
        <v>9</v>
      </c>
      <c r="AE60" s="12">
        <f t="shared" si="15"/>
        <v>38</v>
      </c>
      <c r="AF60" s="12">
        <f t="shared" si="16"/>
        <v>7</v>
      </c>
      <c r="AG60" s="12">
        <f t="shared" si="17"/>
        <v>19</v>
      </c>
    </row>
    <row r="61" spans="1:33" x14ac:dyDescent="0.3">
      <c r="A61" s="8" t="s">
        <v>119</v>
      </c>
      <c r="B61" s="8" t="s">
        <v>107</v>
      </c>
      <c r="C61" s="8" t="s">
        <v>61</v>
      </c>
      <c r="D61" s="9">
        <v>1920536.76</v>
      </c>
      <c r="E61" s="9">
        <v>153246.18</v>
      </c>
      <c r="F61" s="8">
        <v>6.4</v>
      </c>
      <c r="G61" s="8">
        <v>6</v>
      </c>
      <c r="H61" s="8">
        <v>1</v>
      </c>
      <c r="I61" s="8">
        <v>12</v>
      </c>
      <c r="J61" s="10">
        <f t="shared" si="0"/>
        <v>1</v>
      </c>
      <c r="K61" s="11">
        <f t="shared" si="1"/>
        <v>1920536.76</v>
      </c>
      <c r="L61" s="11">
        <f t="shared" si="2"/>
        <v>153246.18</v>
      </c>
      <c r="M61" s="11">
        <f t="shared" si="3"/>
        <v>2073782.94</v>
      </c>
      <c r="N61" s="11">
        <f t="shared" si="4"/>
        <v>2073782.94</v>
      </c>
      <c r="O61" s="11">
        <f t="shared" si="5"/>
        <v>2090862.25</v>
      </c>
      <c r="P61" s="12">
        <f>IF(AND(C61="F",M61&lt;O61,SUMIFS(Категории!$Z$5:$Z$11,Категории!$A$5:$A$11,B61)=1),1,0)</f>
        <v>0</v>
      </c>
      <c r="Q61" s="11">
        <f t="shared" si="6"/>
        <v>0</v>
      </c>
      <c r="R61" s="10">
        <f>IF(AND(P61=1,SUMIFS(Категории!$AA$5:$AA$11,Категории!$A$5:$A$11,B61)&gt;0),Q61/SUMIFS(Категории!$AA$5:$AA$11,Категории!$A$5:$A$11,B61),0)</f>
        <v>0</v>
      </c>
      <c r="S61" s="11">
        <f>R61*SUMIFS(Категории!$AB$5:$AB$11,Категории!$A$5:$A$11,B61)</f>
        <v>0</v>
      </c>
      <c r="T61" s="11">
        <f t="shared" si="7"/>
        <v>0</v>
      </c>
      <c r="U61" s="11">
        <f t="shared" si="8"/>
        <v>0</v>
      </c>
      <c r="V61" s="11">
        <f t="shared" si="9"/>
        <v>0</v>
      </c>
      <c r="W61" s="12">
        <f>IF(AND(C61="F",M61&lt;O61,SUMIFS(Категории!$AH$5:$AH$11,Категории!$A$5:$A$11,B61)=1),1,0)</f>
        <v>0</v>
      </c>
      <c r="X61" s="11">
        <f t="shared" si="10"/>
        <v>0</v>
      </c>
      <c r="Y61" s="10">
        <f>IF(AND(W61=1,SUMIFS(Категории!$AI$5:$AI$11,Категории!$A$5:$A$11,B61)&gt;0),X61/SUMIFS(Категории!$AI$5:$AI$11,Категории!$A$5:$A$11,B61),0)</f>
        <v>0</v>
      </c>
      <c r="Z61" s="11">
        <f>Y61*SUMIFS(Категории!$AJ$5:$AJ$11,Категории!$A$5:$A$11,B61)</f>
        <v>0</v>
      </c>
      <c r="AA61" s="11">
        <f t="shared" si="11"/>
        <v>0</v>
      </c>
      <c r="AB61" s="11">
        <f t="shared" si="12"/>
        <v>0</v>
      </c>
      <c r="AC61" s="11">
        <f t="shared" si="13"/>
        <v>0</v>
      </c>
      <c r="AD61" s="12">
        <f t="shared" si="14"/>
        <v>19</v>
      </c>
      <c r="AE61" s="12">
        <f t="shared" si="15"/>
        <v>38</v>
      </c>
      <c r="AF61" s="12">
        <f t="shared" si="16"/>
        <v>7</v>
      </c>
      <c r="AG61" s="12">
        <f t="shared" si="17"/>
        <v>19</v>
      </c>
    </row>
    <row r="62" spans="1:33" x14ac:dyDescent="0.3">
      <c r="A62" s="8" t="s">
        <v>120</v>
      </c>
      <c r="B62" s="8" t="s">
        <v>107</v>
      </c>
      <c r="C62" s="8" t="s">
        <v>61</v>
      </c>
      <c r="D62" s="9">
        <v>1930270.48</v>
      </c>
      <c r="E62" s="9">
        <v>161493.18</v>
      </c>
      <c r="F62" s="8">
        <v>9.9</v>
      </c>
      <c r="G62" s="8">
        <v>8</v>
      </c>
      <c r="H62" s="8">
        <v>0.8</v>
      </c>
      <c r="I62" s="8">
        <v>12</v>
      </c>
      <c r="J62" s="10">
        <f t="shared" si="0"/>
        <v>0.8</v>
      </c>
      <c r="K62" s="11">
        <f t="shared" si="1"/>
        <v>2412838.0999999996</v>
      </c>
      <c r="L62" s="11">
        <f t="shared" si="2"/>
        <v>201866.47499999998</v>
      </c>
      <c r="M62" s="11">
        <f t="shared" si="3"/>
        <v>2614704.5749999997</v>
      </c>
      <c r="N62" s="11">
        <f t="shared" si="4"/>
        <v>2091763.66</v>
      </c>
      <c r="O62" s="11">
        <f t="shared" si="5"/>
        <v>2090862.25</v>
      </c>
      <c r="P62" s="12">
        <f>IF(AND(C62="F",M62&lt;O62,SUMIFS(Категории!$Z$5:$Z$11,Категории!$A$5:$A$11,B62)=1),1,0)</f>
        <v>0</v>
      </c>
      <c r="Q62" s="11">
        <f t="shared" si="6"/>
        <v>0</v>
      </c>
      <c r="R62" s="10">
        <f>IF(AND(P62=1,SUMIFS(Категории!$AA$5:$AA$11,Категории!$A$5:$A$11,B62)&gt;0),Q62/SUMIFS(Категории!$AA$5:$AA$11,Категории!$A$5:$A$11,B62),0)</f>
        <v>0</v>
      </c>
      <c r="S62" s="11">
        <f>R62*SUMIFS(Категории!$AB$5:$AB$11,Категории!$A$5:$A$11,B62)</f>
        <v>0</v>
      </c>
      <c r="T62" s="11">
        <f t="shared" si="7"/>
        <v>0</v>
      </c>
      <c r="U62" s="11">
        <f t="shared" si="8"/>
        <v>0</v>
      </c>
      <c r="V62" s="11">
        <f t="shared" si="9"/>
        <v>0</v>
      </c>
      <c r="W62" s="12">
        <f>IF(AND(C62="F",M62&lt;O62,SUMIFS(Категории!$AH$5:$AH$11,Категории!$A$5:$A$11,B62)=1),1,0)</f>
        <v>0</v>
      </c>
      <c r="X62" s="11">
        <f t="shared" si="10"/>
        <v>0</v>
      </c>
      <c r="Y62" s="10">
        <f>IF(AND(W62=1,SUMIFS(Категории!$AI$5:$AI$11,Категории!$A$5:$A$11,B62)&gt;0),X62/SUMIFS(Категории!$AI$5:$AI$11,Категории!$A$5:$A$11,B62),0)</f>
        <v>0</v>
      </c>
      <c r="Z62" s="11">
        <f>Y62*SUMIFS(Категории!$AJ$5:$AJ$11,Категории!$A$5:$A$11,B62)</f>
        <v>0</v>
      </c>
      <c r="AA62" s="11">
        <f t="shared" si="11"/>
        <v>0</v>
      </c>
      <c r="AB62" s="11">
        <f t="shared" si="12"/>
        <v>0</v>
      </c>
      <c r="AC62" s="11">
        <f t="shared" si="13"/>
        <v>0</v>
      </c>
      <c r="AD62" s="12">
        <f t="shared" si="14"/>
        <v>33</v>
      </c>
      <c r="AE62" s="12">
        <f t="shared" si="15"/>
        <v>38</v>
      </c>
      <c r="AF62" s="12">
        <f t="shared" si="16"/>
        <v>16</v>
      </c>
      <c r="AG62" s="12">
        <f t="shared" si="17"/>
        <v>19</v>
      </c>
    </row>
    <row r="63" spans="1:33" x14ac:dyDescent="0.3">
      <c r="A63" s="8" t="s">
        <v>121</v>
      </c>
      <c r="B63" s="8" t="s">
        <v>107</v>
      </c>
      <c r="C63" s="8" t="s">
        <v>66</v>
      </c>
      <c r="D63" s="9">
        <v>2335170.0699999998</v>
      </c>
      <c r="E63" s="9">
        <v>144763.57999999999</v>
      </c>
      <c r="F63" s="8">
        <v>9.1</v>
      </c>
      <c r="G63" s="8">
        <v>8</v>
      </c>
      <c r="H63" s="8">
        <v>1</v>
      </c>
      <c r="I63" s="8">
        <v>12</v>
      </c>
      <c r="J63" s="10">
        <f t="shared" si="0"/>
        <v>1</v>
      </c>
      <c r="K63" s="11">
        <f t="shared" si="1"/>
        <v>2335170.0699999998</v>
      </c>
      <c r="L63" s="11">
        <f t="shared" si="2"/>
        <v>144763.57999999999</v>
      </c>
      <c r="M63" s="11">
        <f t="shared" si="3"/>
        <v>2479933.65</v>
      </c>
      <c r="N63" s="11">
        <f t="shared" si="4"/>
        <v>2479933.65</v>
      </c>
      <c r="O63" s="11">
        <f t="shared" si="5"/>
        <v>2090862.25</v>
      </c>
      <c r="P63" s="12">
        <f>IF(AND(C63="F",M63&lt;O63,SUMIFS(Категории!$Z$5:$Z$11,Категории!$A$5:$A$11,B63)=1),1,0)</f>
        <v>0</v>
      </c>
      <c r="Q63" s="11">
        <f t="shared" si="6"/>
        <v>0</v>
      </c>
      <c r="R63" s="10">
        <f>IF(AND(P63=1,SUMIFS(Категории!$AA$5:$AA$11,Категории!$A$5:$A$11,B63)&gt;0),Q63/SUMIFS(Категории!$AA$5:$AA$11,Категории!$A$5:$A$11,B63),0)</f>
        <v>0</v>
      </c>
      <c r="S63" s="11">
        <f>R63*SUMIFS(Категории!$AB$5:$AB$11,Категории!$A$5:$A$11,B63)</f>
        <v>0</v>
      </c>
      <c r="T63" s="11">
        <f t="shared" si="7"/>
        <v>0</v>
      </c>
      <c r="U63" s="11">
        <f t="shared" si="8"/>
        <v>0</v>
      </c>
      <c r="V63" s="11">
        <f t="shared" si="9"/>
        <v>0</v>
      </c>
      <c r="W63" s="12">
        <f>IF(AND(C63="F",M63&lt;O63,SUMIFS(Категории!$AH$5:$AH$11,Категории!$A$5:$A$11,B63)=1),1,0)</f>
        <v>0</v>
      </c>
      <c r="X63" s="11">
        <f t="shared" si="10"/>
        <v>0</v>
      </c>
      <c r="Y63" s="10">
        <f>IF(AND(W63=1,SUMIFS(Категории!$AI$5:$AI$11,Категории!$A$5:$A$11,B63)&gt;0),X63/SUMIFS(Категории!$AI$5:$AI$11,Категории!$A$5:$A$11,B63),0)</f>
        <v>0</v>
      </c>
      <c r="Z63" s="11">
        <f>Y63*SUMIFS(Категории!$AJ$5:$AJ$11,Категории!$A$5:$A$11,B63)</f>
        <v>0</v>
      </c>
      <c r="AA63" s="11">
        <f t="shared" si="11"/>
        <v>0</v>
      </c>
      <c r="AB63" s="11">
        <f t="shared" si="12"/>
        <v>0</v>
      </c>
      <c r="AC63" s="11">
        <f t="shared" si="13"/>
        <v>0</v>
      </c>
      <c r="AD63" s="12">
        <f t="shared" si="14"/>
        <v>30</v>
      </c>
      <c r="AE63" s="12">
        <f t="shared" si="15"/>
        <v>38</v>
      </c>
      <c r="AF63" s="12">
        <f t="shared" si="16"/>
        <v>17</v>
      </c>
      <c r="AG63" s="12">
        <f t="shared" si="17"/>
        <v>19</v>
      </c>
    </row>
    <row r="64" spans="1:33" x14ac:dyDescent="0.3">
      <c r="A64" s="8" t="s">
        <v>122</v>
      </c>
      <c r="B64" s="8" t="s">
        <v>107</v>
      </c>
      <c r="C64" s="8" t="s">
        <v>66</v>
      </c>
      <c r="D64" s="9">
        <v>1652532.37</v>
      </c>
      <c r="E64" s="9">
        <v>138590.95000000001</v>
      </c>
      <c r="F64" s="8">
        <v>1.6</v>
      </c>
      <c r="G64" s="8">
        <v>5</v>
      </c>
      <c r="H64" s="8">
        <v>1</v>
      </c>
      <c r="I64" s="8">
        <v>12</v>
      </c>
      <c r="J64" s="10">
        <f t="shared" si="0"/>
        <v>1</v>
      </c>
      <c r="K64" s="11">
        <f t="shared" si="1"/>
        <v>1652532.37</v>
      </c>
      <c r="L64" s="11">
        <f t="shared" si="2"/>
        <v>138590.95000000001</v>
      </c>
      <c r="M64" s="11">
        <f t="shared" si="3"/>
        <v>1791123.32</v>
      </c>
      <c r="N64" s="11">
        <f t="shared" si="4"/>
        <v>1791123.32</v>
      </c>
      <c r="O64" s="11">
        <f t="shared" si="5"/>
        <v>2090862.25</v>
      </c>
      <c r="P64" s="12">
        <f>IF(AND(C64="F",M64&lt;O64,SUMIFS(Категории!$Z$5:$Z$11,Категории!$A$5:$A$11,B64)=1),1,0)</f>
        <v>0</v>
      </c>
      <c r="Q64" s="11">
        <f t="shared" si="6"/>
        <v>0</v>
      </c>
      <c r="R64" s="10">
        <f>IF(AND(P64=1,SUMIFS(Категории!$AA$5:$AA$11,Категории!$A$5:$A$11,B64)&gt;0),Q64/SUMIFS(Категории!$AA$5:$AA$11,Категории!$A$5:$A$11,B64),0)</f>
        <v>0</v>
      </c>
      <c r="S64" s="11">
        <f>R64*SUMIFS(Категории!$AB$5:$AB$11,Категории!$A$5:$A$11,B64)</f>
        <v>0</v>
      </c>
      <c r="T64" s="11">
        <f t="shared" si="7"/>
        <v>0</v>
      </c>
      <c r="U64" s="11">
        <f t="shared" si="8"/>
        <v>0</v>
      </c>
      <c r="V64" s="11">
        <f t="shared" si="9"/>
        <v>0</v>
      </c>
      <c r="W64" s="12">
        <f>IF(AND(C64="F",M64&lt;O64,SUMIFS(Категории!$AH$5:$AH$11,Категории!$A$5:$A$11,B64)=1),1,0)</f>
        <v>1</v>
      </c>
      <c r="X64" s="11">
        <f t="shared" si="10"/>
        <v>299738.92999999993</v>
      </c>
      <c r="Y64" s="10">
        <f>IF(AND(W64=1,SUMIFS(Категории!$AI$5:$AI$11,Категории!$A$5:$A$11,B64)&gt;0),X64/SUMIFS(Категории!$AI$5:$AI$11,Категории!$A$5:$A$11,B64),0)</f>
        <v>7.9108729379894549E-2</v>
      </c>
      <c r="Z64" s="11">
        <f>Y64*SUMIFS(Категории!$AJ$5:$AJ$11,Категории!$A$5:$A$11,B64)</f>
        <v>51351.651334979346</v>
      </c>
      <c r="AA64" s="11">
        <f t="shared" si="11"/>
        <v>51351.651334979346</v>
      </c>
      <c r="AB64" s="11">
        <f t="shared" si="12"/>
        <v>15405.495400493803</v>
      </c>
      <c r="AC64" s="11">
        <f t="shared" si="13"/>
        <v>66757.146735473143</v>
      </c>
      <c r="AD64" s="12">
        <f t="shared" si="14"/>
        <v>10</v>
      </c>
      <c r="AE64" s="12">
        <f t="shared" si="15"/>
        <v>38</v>
      </c>
      <c r="AF64" s="12">
        <f t="shared" si="16"/>
        <v>8</v>
      </c>
      <c r="AG64" s="12">
        <f t="shared" si="17"/>
        <v>19</v>
      </c>
    </row>
    <row r="65" spans="1:33" x14ac:dyDescent="0.3">
      <c r="A65" s="8" t="s">
        <v>123</v>
      </c>
      <c r="B65" s="8" t="s">
        <v>107</v>
      </c>
      <c r="C65" s="8" t="s">
        <v>66</v>
      </c>
      <c r="D65" s="9">
        <v>1519162.72</v>
      </c>
      <c r="E65" s="9">
        <v>143415.18</v>
      </c>
      <c r="F65" s="8">
        <v>4.2</v>
      </c>
      <c r="G65" s="8">
        <v>5</v>
      </c>
      <c r="H65" s="8">
        <v>1</v>
      </c>
      <c r="I65" s="8">
        <v>12</v>
      </c>
      <c r="J65" s="10">
        <f t="shared" si="0"/>
        <v>1</v>
      </c>
      <c r="K65" s="11">
        <f t="shared" si="1"/>
        <v>1519162.72</v>
      </c>
      <c r="L65" s="11">
        <f t="shared" si="2"/>
        <v>143415.18</v>
      </c>
      <c r="M65" s="11">
        <f t="shared" si="3"/>
        <v>1662577.9</v>
      </c>
      <c r="N65" s="11">
        <f t="shared" si="4"/>
        <v>1662577.9</v>
      </c>
      <c r="O65" s="11">
        <f t="shared" si="5"/>
        <v>2090862.25</v>
      </c>
      <c r="P65" s="12">
        <f>IF(AND(C65="F",M65&lt;O65,SUMIFS(Категории!$Z$5:$Z$11,Категории!$A$5:$A$11,B65)=1),1,0)</f>
        <v>0</v>
      </c>
      <c r="Q65" s="11">
        <f t="shared" si="6"/>
        <v>0</v>
      </c>
      <c r="R65" s="10">
        <f>IF(AND(P65=1,SUMIFS(Категории!$AA$5:$AA$11,Категории!$A$5:$A$11,B65)&gt;0),Q65/SUMIFS(Категории!$AA$5:$AA$11,Категории!$A$5:$A$11,B65),0)</f>
        <v>0</v>
      </c>
      <c r="S65" s="11">
        <f>R65*SUMIFS(Категории!$AB$5:$AB$11,Категории!$A$5:$A$11,B65)</f>
        <v>0</v>
      </c>
      <c r="T65" s="11">
        <f t="shared" si="7"/>
        <v>0</v>
      </c>
      <c r="U65" s="11">
        <f t="shared" si="8"/>
        <v>0</v>
      </c>
      <c r="V65" s="11">
        <f t="shared" si="9"/>
        <v>0</v>
      </c>
      <c r="W65" s="12">
        <f>IF(AND(C65="F",M65&lt;O65,SUMIFS(Категории!$AH$5:$AH$11,Категории!$A$5:$A$11,B65)=1),1,0)</f>
        <v>1</v>
      </c>
      <c r="X65" s="11">
        <f t="shared" si="10"/>
        <v>428284.35000000009</v>
      </c>
      <c r="Y65" s="10">
        <f>IF(AND(W65=1,SUMIFS(Категории!$AI$5:$AI$11,Категории!$A$5:$A$11,B65)&gt;0),X65/SUMIFS(Категории!$AI$5:$AI$11,Категории!$A$5:$A$11,B65),0)</f>
        <v>0.11303513608257044</v>
      </c>
      <c r="Z65" s="11">
        <f>Y65*SUMIFS(Категории!$AJ$5:$AJ$11,Категории!$A$5:$A$11,B65)</f>
        <v>73374.214732228051</v>
      </c>
      <c r="AA65" s="11">
        <f t="shared" si="11"/>
        <v>73374.214732228051</v>
      </c>
      <c r="AB65" s="11">
        <f t="shared" si="12"/>
        <v>22012.264419668416</v>
      </c>
      <c r="AC65" s="11">
        <f t="shared" si="13"/>
        <v>95386.479151896463</v>
      </c>
      <c r="AD65" s="12">
        <f t="shared" si="14"/>
        <v>5</v>
      </c>
      <c r="AE65" s="12">
        <f t="shared" si="15"/>
        <v>38</v>
      </c>
      <c r="AF65" s="12">
        <f t="shared" si="16"/>
        <v>4</v>
      </c>
      <c r="AG65" s="12">
        <f t="shared" si="17"/>
        <v>19</v>
      </c>
    </row>
    <row r="66" spans="1:33" x14ac:dyDescent="0.3">
      <c r="A66" s="8" t="s">
        <v>124</v>
      </c>
      <c r="B66" s="8" t="s">
        <v>107</v>
      </c>
      <c r="C66" s="8" t="s">
        <v>66</v>
      </c>
      <c r="D66" s="9">
        <v>1927996.78</v>
      </c>
      <c r="E66" s="9">
        <v>179944.78</v>
      </c>
      <c r="F66" s="8">
        <v>7.7</v>
      </c>
      <c r="G66" s="8">
        <v>6</v>
      </c>
      <c r="H66" s="8">
        <v>1</v>
      </c>
      <c r="I66" s="8">
        <v>12</v>
      </c>
      <c r="J66" s="10">
        <f t="shared" si="0"/>
        <v>1</v>
      </c>
      <c r="K66" s="11">
        <f t="shared" si="1"/>
        <v>1927996.78</v>
      </c>
      <c r="L66" s="11">
        <f t="shared" si="2"/>
        <v>179944.78</v>
      </c>
      <c r="M66" s="11">
        <f t="shared" si="3"/>
        <v>2107941.56</v>
      </c>
      <c r="N66" s="11">
        <f t="shared" si="4"/>
        <v>2107941.56</v>
      </c>
      <c r="O66" s="11">
        <f t="shared" si="5"/>
        <v>2090862.25</v>
      </c>
      <c r="P66" s="12">
        <f>IF(AND(C66="F",M66&lt;O66,SUMIFS(Категории!$Z$5:$Z$11,Категории!$A$5:$A$11,B66)=1),1,0)</f>
        <v>0</v>
      </c>
      <c r="Q66" s="11">
        <f t="shared" si="6"/>
        <v>0</v>
      </c>
      <c r="R66" s="10">
        <f>IF(AND(P66=1,SUMIFS(Категории!$AA$5:$AA$11,Категории!$A$5:$A$11,B66)&gt;0),Q66/SUMIFS(Категории!$AA$5:$AA$11,Категории!$A$5:$A$11,B66),0)</f>
        <v>0</v>
      </c>
      <c r="S66" s="11">
        <f>R66*SUMIFS(Категории!$AB$5:$AB$11,Категории!$A$5:$A$11,B66)</f>
        <v>0</v>
      </c>
      <c r="T66" s="11">
        <f t="shared" si="7"/>
        <v>0</v>
      </c>
      <c r="U66" s="11">
        <f t="shared" si="8"/>
        <v>0</v>
      </c>
      <c r="V66" s="11">
        <f t="shared" si="9"/>
        <v>0</v>
      </c>
      <c r="W66" s="12">
        <f>IF(AND(C66="F",M66&lt;O66,SUMIFS(Категории!$AH$5:$AH$11,Категории!$A$5:$A$11,B66)=1),1,0)</f>
        <v>0</v>
      </c>
      <c r="X66" s="11">
        <f t="shared" si="10"/>
        <v>0</v>
      </c>
      <c r="Y66" s="10">
        <f>IF(AND(W66=1,SUMIFS(Категории!$AI$5:$AI$11,Категории!$A$5:$A$11,B66)&gt;0),X66/SUMIFS(Категории!$AI$5:$AI$11,Категории!$A$5:$A$11,B66),0)</f>
        <v>0</v>
      </c>
      <c r="Z66" s="11">
        <f>Y66*SUMIFS(Категории!$AJ$5:$AJ$11,Категории!$A$5:$A$11,B66)</f>
        <v>0</v>
      </c>
      <c r="AA66" s="11">
        <f t="shared" si="11"/>
        <v>0</v>
      </c>
      <c r="AB66" s="11">
        <f t="shared" si="12"/>
        <v>0</v>
      </c>
      <c r="AC66" s="11">
        <f t="shared" si="13"/>
        <v>0</v>
      </c>
      <c r="AD66" s="12">
        <f t="shared" si="14"/>
        <v>20</v>
      </c>
      <c r="AE66" s="12">
        <f t="shared" si="15"/>
        <v>38</v>
      </c>
      <c r="AF66" s="12">
        <f t="shared" si="16"/>
        <v>13</v>
      </c>
      <c r="AG66" s="12">
        <f t="shared" si="17"/>
        <v>19</v>
      </c>
    </row>
    <row r="67" spans="1:33" x14ac:dyDescent="0.3">
      <c r="A67" s="8" t="s">
        <v>125</v>
      </c>
      <c r="B67" s="8" t="s">
        <v>107</v>
      </c>
      <c r="C67" s="8" t="s">
        <v>66</v>
      </c>
      <c r="D67" s="9">
        <v>1482349.32</v>
      </c>
      <c r="E67" s="9">
        <v>148108.32</v>
      </c>
      <c r="F67" s="8">
        <v>2.1</v>
      </c>
      <c r="G67" s="8">
        <v>5</v>
      </c>
      <c r="H67" s="8">
        <v>1</v>
      </c>
      <c r="I67" s="8">
        <v>12</v>
      </c>
      <c r="J67" s="10">
        <f t="shared" si="0"/>
        <v>1</v>
      </c>
      <c r="K67" s="11">
        <f t="shared" si="1"/>
        <v>1482349.32</v>
      </c>
      <c r="L67" s="11">
        <f t="shared" si="2"/>
        <v>148108.32</v>
      </c>
      <c r="M67" s="11">
        <f t="shared" si="3"/>
        <v>1630457.6400000001</v>
      </c>
      <c r="N67" s="11">
        <f t="shared" si="4"/>
        <v>1630457.6400000001</v>
      </c>
      <c r="O67" s="11">
        <f t="shared" si="5"/>
        <v>2090862.25</v>
      </c>
      <c r="P67" s="12">
        <f>IF(AND(C67="F",M67&lt;O67,SUMIFS(Категории!$Z$5:$Z$11,Категории!$A$5:$A$11,B67)=1),1,0)</f>
        <v>0</v>
      </c>
      <c r="Q67" s="11">
        <f t="shared" si="6"/>
        <v>0</v>
      </c>
      <c r="R67" s="10">
        <f>IF(AND(P67=1,SUMIFS(Категории!$AA$5:$AA$11,Категории!$A$5:$A$11,B67)&gt;0),Q67/SUMIFS(Категории!$AA$5:$AA$11,Категории!$A$5:$A$11,B67),0)</f>
        <v>0</v>
      </c>
      <c r="S67" s="11">
        <f>R67*SUMIFS(Категории!$AB$5:$AB$11,Категории!$A$5:$A$11,B67)</f>
        <v>0</v>
      </c>
      <c r="T67" s="11">
        <f t="shared" si="7"/>
        <v>0</v>
      </c>
      <c r="U67" s="11">
        <f t="shared" si="8"/>
        <v>0</v>
      </c>
      <c r="V67" s="11">
        <f t="shared" si="9"/>
        <v>0</v>
      </c>
      <c r="W67" s="12">
        <f>IF(AND(C67="F",M67&lt;O67,SUMIFS(Категории!$AH$5:$AH$11,Категории!$A$5:$A$11,B67)=1),1,0)</f>
        <v>1</v>
      </c>
      <c r="X67" s="11">
        <f t="shared" si="10"/>
        <v>460404.60999999987</v>
      </c>
      <c r="Y67" s="10">
        <f>IF(AND(W67=1,SUMIFS(Категории!$AI$5:$AI$11,Категории!$A$5:$A$11,B67)&gt;0),X67/SUMIFS(Категории!$AI$5:$AI$11,Категории!$A$5:$A$11,B67),0)</f>
        <v>0.12151248987826137</v>
      </c>
      <c r="Z67" s="11">
        <f>Y67*SUMIFS(Категории!$AJ$5:$AJ$11,Категории!$A$5:$A$11,B67)</f>
        <v>78877.098165851014</v>
      </c>
      <c r="AA67" s="11">
        <f t="shared" si="11"/>
        <v>78877.098165851014</v>
      </c>
      <c r="AB67" s="11">
        <f t="shared" si="12"/>
        <v>23663.129449755303</v>
      </c>
      <c r="AC67" s="11">
        <f t="shared" si="13"/>
        <v>102540.22761560632</v>
      </c>
      <c r="AD67" s="12">
        <f t="shared" si="14"/>
        <v>2</v>
      </c>
      <c r="AE67" s="12">
        <f t="shared" si="15"/>
        <v>38</v>
      </c>
      <c r="AF67" s="12">
        <f t="shared" si="16"/>
        <v>2</v>
      </c>
      <c r="AG67" s="12">
        <f t="shared" si="17"/>
        <v>19</v>
      </c>
    </row>
    <row r="68" spans="1:33" x14ac:dyDescent="0.3">
      <c r="A68" s="8" t="s">
        <v>126</v>
      </c>
      <c r="B68" s="8" t="s">
        <v>107</v>
      </c>
      <c r="C68" s="8" t="s">
        <v>61</v>
      </c>
      <c r="D68" s="9">
        <v>1547860.62</v>
      </c>
      <c r="E68" s="9">
        <v>123324.35</v>
      </c>
      <c r="F68" s="8">
        <v>1.9</v>
      </c>
      <c r="G68" s="8">
        <v>5</v>
      </c>
      <c r="H68" s="8">
        <v>1</v>
      </c>
      <c r="I68" s="8">
        <v>12</v>
      </c>
      <c r="J68" s="10">
        <f t="shared" si="0"/>
        <v>1</v>
      </c>
      <c r="K68" s="11">
        <f t="shared" si="1"/>
        <v>1547860.62</v>
      </c>
      <c r="L68" s="11">
        <f t="shared" si="2"/>
        <v>123324.35</v>
      </c>
      <c r="M68" s="11">
        <f t="shared" si="3"/>
        <v>1671184.9700000002</v>
      </c>
      <c r="N68" s="11">
        <f t="shared" si="4"/>
        <v>1671184.9700000002</v>
      </c>
      <c r="O68" s="11">
        <f t="shared" si="5"/>
        <v>2090862.25</v>
      </c>
      <c r="P68" s="12">
        <f>IF(AND(C68="F",M68&lt;O68,SUMIFS(Категории!$Z$5:$Z$11,Категории!$A$5:$A$11,B68)=1),1,0)</f>
        <v>0</v>
      </c>
      <c r="Q68" s="11">
        <f t="shared" si="6"/>
        <v>0</v>
      </c>
      <c r="R68" s="10">
        <f>IF(AND(P68=1,SUMIFS(Категории!$AA$5:$AA$11,Категории!$A$5:$A$11,B68)&gt;0),Q68/SUMIFS(Категории!$AA$5:$AA$11,Категории!$A$5:$A$11,B68),0)</f>
        <v>0</v>
      </c>
      <c r="S68" s="11">
        <f>R68*SUMIFS(Категории!$AB$5:$AB$11,Категории!$A$5:$A$11,B68)</f>
        <v>0</v>
      </c>
      <c r="T68" s="11">
        <f t="shared" si="7"/>
        <v>0</v>
      </c>
      <c r="U68" s="11">
        <f t="shared" si="8"/>
        <v>0</v>
      </c>
      <c r="V68" s="11">
        <f t="shared" si="9"/>
        <v>0</v>
      </c>
      <c r="W68" s="12">
        <f>IF(AND(C68="F",M68&lt;O68,SUMIFS(Категории!$AH$5:$AH$11,Категории!$A$5:$A$11,B68)=1),1,0)</f>
        <v>0</v>
      </c>
      <c r="X68" s="11">
        <f t="shared" si="10"/>
        <v>0</v>
      </c>
      <c r="Y68" s="10">
        <f>IF(AND(W68=1,SUMIFS(Категории!$AI$5:$AI$11,Категории!$A$5:$A$11,B68)&gt;0),X68/SUMIFS(Категории!$AI$5:$AI$11,Категории!$A$5:$A$11,B68),0)</f>
        <v>0</v>
      </c>
      <c r="Z68" s="11">
        <f>Y68*SUMIFS(Категории!$AJ$5:$AJ$11,Категории!$A$5:$A$11,B68)</f>
        <v>0</v>
      </c>
      <c r="AA68" s="11">
        <f t="shared" si="11"/>
        <v>0</v>
      </c>
      <c r="AB68" s="11">
        <f t="shared" si="12"/>
        <v>0</v>
      </c>
      <c r="AC68" s="11">
        <f t="shared" si="13"/>
        <v>0</v>
      </c>
      <c r="AD68" s="12">
        <f t="shared" si="14"/>
        <v>6</v>
      </c>
      <c r="AE68" s="12">
        <f t="shared" si="15"/>
        <v>38</v>
      </c>
      <c r="AF68" s="12">
        <f t="shared" si="16"/>
        <v>2</v>
      </c>
      <c r="AG68" s="12">
        <f t="shared" si="17"/>
        <v>19</v>
      </c>
    </row>
    <row r="69" spans="1:33" x14ac:dyDescent="0.3">
      <c r="A69" s="8" t="s">
        <v>127</v>
      </c>
      <c r="B69" s="8" t="s">
        <v>107</v>
      </c>
      <c r="C69" s="8" t="s">
        <v>66</v>
      </c>
      <c r="D69" s="9">
        <v>1577037.34</v>
      </c>
      <c r="E69" s="9">
        <v>102692.02</v>
      </c>
      <c r="F69" s="8">
        <v>4.0999999999999996</v>
      </c>
      <c r="G69" s="8">
        <v>5</v>
      </c>
      <c r="H69" s="8">
        <v>1</v>
      </c>
      <c r="I69" s="8">
        <v>12</v>
      </c>
      <c r="J69" s="10">
        <f t="shared" ref="J69:J132" si="18">H69*(I69/12)</f>
        <v>1</v>
      </c>
      <c r="K69" s="11">
        <f t="shared" ref="K69:K132" si="19">D69/J69</f>
        <v>1577037.34</v>
      </c>
      <c r="L69" s="11">
        <f t="shared" ref="L69:L132" si="20">E69/J69</f>
        <v>102692.02</v>
      </c>
      <c r="M69" s="11">
        <f t="shared" ref="M69:M132" si="21">K69+L69</f>
        <v>1679729.36</v>
      </c>
      <c r="N69" s="11">
        <f t="shared" ref="N69:N132" si="22">D69+E69</f>
        <v>1679729.36</v>
      </c>
      <c r="O69" s="11">
        <f t="shared" ref="O69:O132" si="23">(SUMIFS($M$5:$M$216,$B$5:$B$216,B69,$AD$5:$AD$216,INT((AE69+1)/2))+SUMIFS($M$5:$M$216,$B$5:$B$216,B69,$AD$5:$AD$216,INT(AE69/2)+1))/2</f>
        <v>2090862.25</v>
      </c>
      <c r="P69" s="12">
        <f>IF(AND(C69="F",M69&lt;O69,SUMIFS(Категории!$Z$5:$Z$11,Категории!$A$5:$A$11,B69)=1),1,0)</f>
        <v>0</v>
      </c>
      <c r="Q69" s="11">
        <f t="shared" ref="Q69:Q132" si="24">IF(P69=1,O69-M69,0)</f>
        <v>0</v>
      </c>
      <c r="R69" s="10">
        <f>IF(AND(P69=1,SUMIFS(Категории!$AA$5:$AA$11,Категории!$A$5:$A$11,B69)&gt;0),Q69/SUMIFS(Категории!$AA$5:$AA$11,Категории!$A$5:$A$11,B69),0)</f>
        <v>0</v>
      </c>
      <c r="S69" s="11">
        <f>R69*SUMIFS(Категории!$AB$5:$AB$11,Категории!$A$5:$A$11,B69)</f>
        <v>0</v>
      </c>
      <c r="T69" s="11">
        <f t="shared" ref="T69:T132" si="25">S69*J69</f>
        <v>0</v>
      </c>
      <c r="U69" s="11">
        <f t="shared" ref="U69:U132" si="26">IF(T69&lt;=0,0,(rate_below/100)*MIN(T69,MAX(0,ceiling-D69))+(rate_above/100)*(T69-MIN(T69,MAX(0,ceiling-D69))))</f>
        <v>0</v>
      </c>
      <c r="V69" s="11">
        <f t="shared" ref="V69:V132" si="27">T69+U69</f>
        <v>0</v>
      </c>
      <c r="W69" s="12">
        <f>IF(AND(C69="F",M69&lt;O69,SUMIFS(Категории!$AH$5:$AH$11,Категории!$A$5:$A$11,B69)=1),1,0)</f>
        <v>1</v>
      </c>
      <c r="X69" s="11">
        <f t="shared" ref="X69:X132" si="28">IF(W69=1,O69-M69,0)</f>
        <v>411132.8899999999</v>
      </c>
      <c r="Y69" s="10">
        <f>IF(AND(W69=1,SUMIFS(Категории!$AI$5:$AI$11,Категории!$A$5:$A$11,B69)&gt;0),X69/SUMIFS(Категории!$AI$5:$AI$11,Категории!$A$5:$A$11,B69),0)</f>
        <v>0.1085084294328533</v>
      </c>
      <c r="Z69" s="11">
        <f>Y69*SUMIFS(Категории!$AJ$5:$AJ$11,Категории!$A$5:$A$11,B69)</f>
        <v>70435.804984098722</v>
      </c>
      <c r="AA69" s="11">
        <f t="shared" ref="AA69:AA132" si="29">Z69*J69</f>
        <v>70435.804984098722</v>
      </c>
      <c r="AB69" s="11">
        <f t="shared" ref="AB69:AB132" si="30">IF(AA69&lt;=0,0,(rate_below/100)*MIN(AA69,MAX(0,ceiling-D69))+(rate_above/100)*(AA69-MIN(AA69,MAX(0,ceiling-D69))))</f>
        <v>21130.741495229617</v>
      </c>
      <c r="AC69" s="11">
        <f t="shared" ref="AC69:AC132" si="31">AA69+AB69</f>
        <v>91566.546479328332</v>
      </c>
      <c r="AD69" s="12">
        <f t="shared" ref="AD69:AD132" si="32">SUMPRODUCT(($B$5:$B$216=B69)*($M$5:$M$216&lt;M69))+SUMPRODUCT(($B$5:$B$216=B69)*($M$5:$M$216=M69)*(ROW($M$5:$M$216)&lt;ROW(M69)))+1</f>
        <v>7</v>
      </c>
      <c r="AE69" s="12">
        <f t="shared" ref="AE69:AE132" si="33">COUNTIF($B$5:$B$216,B69)</f>
        <v>38</v>
      </c>
      <c r="AF69" s="12">
        <f t="shared" ref="AF69:AF132" si="34">SUMPRODUCT(($B$5:$B$216=B69)*($C$5:$C$216=C69)*($M$5:$M$216&lt;M69))+SUMPRODUCT(($B$5:$B$216=B69)*($C$5:$C$216=C69)*($M$5:$M$216=M69)*(ROW($M$5:$M$216)&lt;ROW(M69)))+1</f>
        <v>5</v>
      </c>
      <c r="AG69" s="12">
        <f t="shared" ref="AG69:AG132" si="35">COUNTIFS($B$5:$B$216,B69,$C$5:$C$216,C69)</f>
        <v>19</v>
      </c>
    </row>
    <row r="70" spans="1:33" x14ac:dyDescent="0.3">
      <c r="A70" s="8" t="s">
        <v>128</v>
      </c>
      <c r="B70" s="8" t="s">
        <v>107</v>
      </c>
      <c r="C70" s="8" t="s">
        <v>66</v>
      </c>
      <c r="D70" s="9">
        <v>1737424.82</v>
      </c>
      <c r="E70" s="9">
        <v>108278.02</v>
      </c>
      <c r="F70" s="8">
        <v>1.7</v>
      </c>
      <c r="G70" s="8">
        <v>6</v>
      </c>
      <c r="H70" s="8">
        <v>1</v>
      </c>
      <c r="I70" s="8">
        <v>12</v>
      </c>
      <c r="J70" s="10">
        <f t="shared" si="18"/>
        <v>1</v>
      </c>
      <c r="K70" s="11">
        <f t="shared" si="19"/>
        <v>1737424.82</v>
      </c>
      <c r="L70" s="11">
        <f t="shared" si="20"/>
        <v>108278.02</v>
      </c>
      <c r="M70" s="11">
        <f t="shared" si="21"/>
        <v>1845702.84</v>
      </c>
      <c r="N70" s="11">
        <f t="shared" si="22"/>
        <v>1845702.84</v>
      </c>
      <c r="O70" s="11">
        <f t="shared" si="23"/>
        <v>2090862.25</v>
      </c>
      <c r="P70" s="12">
        <f>IF(AND(C70="F",M70&lt;O70,SUMIFS(Категории!$Z$5:$Z$11,Категории!$A$5:$A$11,B70)=1),1,0)</f>
        <v>0</v>
      </c>
      <c r="Q70" s="11">
        <f t="shared" si="24"/>
        <v>0</v>
      </c>
      <c r="R70" s="10">
        <f>IF(AND(P70=1,SUMIFS(Категории!$AA$5:$AA$11,Категории!$A$5:$A$11,B70)&gt;0),Q70/SUMIFS(Категории!$AA$5:$AA$11,Категории!$A$5:$A$11,B70),0)</f>
        <v>0</v>
      </c>
      <c r="S70" s="11">
        <f>R70*SUMIFS(Категории!$AB$5:$AB$11,Категории!$A$5:$A$11,B70)</f>
        <v>0</v>
      </c>
      <c r="T70" s="11">
        <f t="shared" si="25"/>
        <v>0</v>
      </c>
      <c r="U70" s="11">
        <f t="shared" si="26"/>
        <v>0</v>
      </c>
      <c r="V70" s="11">
        <f t="shared" si="27"/>
        <v>0</v>
      </c>
      <c r="W70" s="12">
        <f>IF(AND(C70="F",M70&lt;O70,SUMIFS(Категории!$AH$5:$AH$11,Категории!$A$5:$A$11,B70)=1),1,0)</f>
        <v>1</v>
      </c>
      <c r="X70" s="11">
        <f t="shared" si="28"/>
        <v>245159.40999999992</v>
      </c>
      <c r="Y70" s="10">
        <f>IF(AND(W70=1,SUMIFS(Категории!$AI$5:$AI$11,Категории!$A$5:$A$11,B70)&gt;0),X70/SUMIFS(Категории!$AI$5:$AI$11,Категории!$A$5:$A$11,B70),0)</f>
        <v>6.4703805477068374E-2</v>
      </c>
      <c r="Z70" s="11">
        <f>Y70*SUMIFS(Категории!$AJ$5:$AJ$11,Категории!$A$5:$A$11,B70)</f>
        <v>42001.01916627663</v>
      </c>
      <c r="AA70" s="11">
        <f t="shared" si="29"/>
        <v>42001.01916627663</v>
      </c>
      <c r="AB70" s="11">
        <f t="shared" si="30"/>
        <v>12600.305749882989</v>
      </c>
      <c r="AC70" s="11">
        <f t="shared" si="31"/>
        <v>54601.324916159618</v>
      </c>
      <c r="AD70" s="12">
        <f t="shared" si="32"/>
        <v>12</v>
      </c>
      <c r="AE70" s="12">
        <f t="shared" si="33"/>
        <v>38</v>
      </c>
      <c r="AF70" s="12">
        <f t="shared" si="34"/>
        <v>10</v>
      </c>
      <c r="AG70" s="12">
        <f t="shared" si="35"/>
        <v>19</v>
      </c>
    </row>
    <row r="71" spans="1:33" x14ac:dyDescent="0.3">
      <c r="A71" s="8" t="s">
        <v>129</v>
      </c>
      <c r="B71" s="8" t="s">
        <v>107</v>
      </c>
      <c r="C71" s="8" t="s">
        <v>61</v>
      </c>
      <c r="D71" s="9">
        <v>2948870.59</v>
      </c>
      <c r="E71" s="9">
        <v>286479.2</v>
      </c>
      <c r="F71" s="8">
        <v>6.7</v>
      </c>
      <c r="G71" s="8">
        <v>9</v>
      </c>
      <c r="H71" s="8">
        <v>1</v>
      </c>
      <c r="I71" s="8">
        <v>12</v>
      </c>
      <c r="J71" s="10">
        <f t="shared" si="18"/>
        <v>1</v>
      </c>
      <c r="K71" s="11">
        <f t="shared" si="19"/>
        <v>2948870.59</v>
      </c>
      <c r="L71" s="11">
        <f t="shared" si="20"/>
        <v>286479.2</v>
      </c>
      <c r="M71" s="11">
        <f t="shared" si="21"/>
        <v>3235349.79</v>
      </c>
      <c r="N71" s="11">
        <f t="shared" si="22"/>
        <v>3235349.79</v>
      </c>
      <c r="O71" s="11">
        <f t="shared" si="23"/>
        <v>2090862.25</v>
      </c>
      <c r="P71" s="12">
        <f>IF(AND(C71="F",M71&lt;O71,SUMIFS(Категории!$Z$5:$Z$11,Категории!$A$5:$A$11,B71)=1),1,0)</f>
        <v>0</v>
      </c>
      <c r="Q71" s="11">
        <f t="shared" si="24"/>
        <v>0</v>
      </c>
      <c r="R71" s="10">
        <f>IF(AND(P71=1,SUMIFS(Категории!$AA$5:$AA$11,Категории!$A$5:$A$11,B71)&gt;0),Q71/SUMIFS(Категории!$AA$5:$AA$11,Категории!$A$5:$A$11,B71),0)</f>
        <v>0</v>
      </c>
      <c r="S71" s="11">
        <f>R71*SUMIFS(Категории!$AB$5:$AB$11,Категории!$A$5:$A$11,B71)</f>
        <v>0</v>
      </c>
      <c r="T71" s="11">
        <f t="shared" si="25"/>
        <v>0</v>
      </c>
      <c r="U71" s="11">
        <f t="shared" si="26"/>
        <v>0</v>
      </c>
      <c r="V71" s="11">
        <f t="shared" si="27"/>
        <v>0</v>
      </c>
      <c r="W71" s="12">
        <f>IF(AND(C71="F",M71&lt;O71,SUMIFS(Категории!$AH$5:$AH$11,Категории!$A$5:$A$11,B71)=1),1,0)</f>
        <v>0</v>
      </c>
      <c r="X71" s="11">
        <f t="shared" si="28"/>
        <v>0</v>
      </c>
      <c r="Y71" s="10">
        <f>IF(AND(W71=1,SUMIFS(Категории!$AI$5:$AI$11,Категории!$A$5:$A$11,B71)&gt;0),X71/SUMIFS(Категории!$AI$5:$AI$11,Категории!$A$5:$A$11,B71),0)</f>
        <v>0</v>
      </c>
      <c r="Z71" s="11">
        <f>Y71*SUMIFS(Категории!$AJ$5:$AJ$11,Категории!$A$5:$A$11,B71)</f>
        <v>0</v>
      </c>
      <c r="AA71" s="11">
        <f t="shared" si="29"/>
        <v>0</v>
      </c>
      <c r="AB71" s="11">
        <f t="shared" si="30"/>
        <v>0</v>
      </c>
      <c r="AC71" s="11">
        <f t="shared" si="31"/>
        <v>0</v>
      </c>
      <c r="AD71" s="12">
        <f t="shared" si="32"/>
        <v>37</v>
      </c>
      <c r="AE71" s="12">
        <f t="shared" si="33"/>
        <v>38</v>
      </c>
      <c r="AF71" s="12">
        <f t="shared" si="34"/>
        <v>19</v>
      </c>
      <c r="AG71" s="12">
        <f t="shared" si="35"/>
        <v>19</v>
      </c>
    </row>
    <row r="72" spans="1:33" x14ac:dyDescent="0.3">
      <c r="A72" s="8" t="s">
        <v>130</v>
      </c>
      <c r="B72" s="8" t="s">
        <v>107</v>
      </c>
      <c r="C72" s="8" t="s">
        <v>66</v>
      </c>
      <c r="D72" s="9">
        <v>2892158.46</v>
      </c>
      <c r="E72" s="9">
        <v>247576.76</v>
      </c>
      <c r="F72" s="8">
        <v>8.1</v>
      </c>
      <c r="G72" s="8">
        <v>10</v>
      </c>
      <c r="H72" s="8">
        <v>1</v>
      </c>
      <c r="I72" s="8">
        <v>12</v>
      </c>
      <c r="J72" s="10">
        <f t="shared" si="18"/>
        <v>1</v>
      </c>
      <c r="K72" s="11">
        <f t="shared" si="19"/>
        <v>2892158.46</v>
      </c>
      <c r="L72" s="11">
        <f t="shared" si="20"/>
        <v>247576.76</v>
      </c>
      <c r="M72" s="11">
        <f t="shared" si="21"/>
        <v>3139735.2199999997</v>
      </c>
      <c r="N72" s="11">
        <f t="shared" si="22"/>
        <v>3139735.2199999997</v>
      </c>
      <c r="O72" s="11">
        <f t="shared" si="23"/>
        <v>2090862.25</v>
      </c>
      <c r="P72" s="12">
        <f>IF(AND(C72="F",M72&lt;O72,SUMIFS(Категории!$Z$5:$Z$11,Категории!$A$5:$A$11,B72)=1),1,0)</f>
        <v>0</v>
      </c>
      <c r="Q72" s="11">
        <f t="shared" si="24"/>
        <v>0</v>
      </c>
      <c r="R72" s="10">
        <f>IF(AND(P72=1,SUMIFS(Категории!$AA$5:$AA$11,Категории!$A$5:$A$11,B72)&gt;0),Q72/SUMIFS(Категории!$AA$5:$AA$11,Категории!$A$5:$A$11,B72),0)</f>
        <v>0</v>
      </c>
      <c r="S72" s="11">
        <f>R72*SUMIFS(Категории!$AB$5:$AB$11,Категории!$A$5:$A$11,B72)</f>
        <v>0</v>
      </c>
      <c r="T72" s="11">
        <f t="shared" si="25"/>
        <v>0</v>
      </c>
      <c r="U72" s="11">
        <f t="shared" si="26"/>
        <v>0</v>
      </c>
      <c r="V72" s="11">
        <f t="shared" si="27"/>
        <v>0</v>
      </c>
      <c r="W72" s="12">
        <f>IF(AND(C72="F",M72&lt;O72,SUMIFS(Категории!$AH$5:$AH$11,Категории!$A$5:$A$11,B72)=1),1,0)</f>
        <v>0</v>
      </c>
      <c r="X72" s="11">
        <f t="shared" si="28"/>
        <v>0</v>
      </c>
      <c r="Y72" s="10">
        <f>IF(AND(W72=1,SUMIFS(Категории!$AI$5:$AI$11,Категории!$A$5:$A$11,B72)&gt;0),X72/SUMIFS(Категории!$AI$5:$AI$11,Категории!$A$5:$A$11,B72),0)</f>
        <v>0</v>
      </c>
      <c r="Z72" s="11">
        <f>Y72*SUMIFS(Категории!$AJ$5:$AJ$11,Категории!$A$5:$A$11,B72)</f>
        <v>0</v>
      </c>
      <c r="AA72" s="11">
        <f t="shared" si="29"/>
        <v>0</v>
      </c>
      <c r="AB72" s="11">
        <f t="shared" si="30"/>
        <v>0</v>
      </c>
      <c r="AC72" s="11">
        <f t="shared" si="31"/>
        <v>0</v>
      </c>
      <c r="AD72" s="12">
        <f t="shared" si="32"/>
        <v>36</v>
      </c>
      <c r="AE72" s="12">
        <f t="shared" si="33"/>
        <v>38</v>
      </c>
      <c r="AF72" s="12">
        <f t="shared" si="34"/>
        <v>18</v>
      </c>
      <c r="AG72" s="12">
        <f t="shared" si="35"/>
        <v>19</v>
      </c>
    </row>
    <row r="73" spans="1:33" x14ac:dyDescent="0.3">
      <c r="A73" s="8" t="s">
        <v>131</v>
      </c>
      <c r="B73" s="8" t="s">
        <v>107</v>
      </c>
      <c r="C73" s="8" t="s">
        <v>66</v>
      </c>
      <c r="D73" s="9">
        <v>1523910.62</v>
      </c>
      <c r="E73" s="9">
        <v>136007.64000000001</v>
      </c>
      <c r="F73" s="8">
        <v>3.3</v>
      </c>
      <c r="G73" s="8">
        <v>5</v>
      </c>
      <c r="H73" s="8">
        <v>1</v>
      </c>
      <c r="I73" s="8">
        <v>12</v>
      </c>
      <c r="J73" s="10">
        <f t="shared" si="18"/>
        <v>1</v>
      </c>
      <c r="K73" s="11">
        <f t="shared" si="19"/>
        <v>1523910.62</v>
      </c>
      <c r="L73" s="11">
        <f t="shared" si="20"/>
        <v>136007.64000000001</v>
      </c>
      <c r="M73" s="11">
        <f t="shared" si="21"/>
        <v>1659918.2600000002</v>
      </c>
      <c r="N73" s="11">
        <f t="shared" si="22"/>
        <v>1659918.2600000002</v>
      </c>
      <c r="O73" s="11">
        <f t="shared" si="23"/>
        <v>2090862.25</v>
      </c>
      <c r="P73" s="12">
        <f>IF(AND(C73="F",M73&lt;O73,SUMIFS(Категории!$Z$5:$Z$11,Категории!$A$5:$A$11,B73)=1),1,0)</f>
        <v>0</v>
      </c>
      <c r="Q73" s="11">
        <f t="shared" si="24"/>
        <v>0</v>
      </c>
      <c r="R73" s="10">
        <f>IF(AND(P73=1,SUMIFS(Категории!$AA$5:$AA$11,Категории!$A$5:$A$11,B73)&gt;0),Q73/SUMIFS(Категории!$AA$5:$AA$11,Категории!$A$5:$A$11,B73),0)</f>
        <v>0</v>
      </c>
      <c r="S73" s="11">
        <f>R73*SUMIFS(Категории!$AB$5:$AB$11,Категории!$A$5:$A$11,B73)</f>
        <v>0</v>
      </c>
      <c r="T73" s="11">
        <f t="shared" si="25"/>
        <v>0</v>
      </c>
      <c r="U73" s="11">
        <f t="shared" si="26"/>
        <v>0</v>
      </c>
      <c r="V73" s="11">
        <f t="shared" si="27"/>
        <v>0</v>
      </c>
      <c r="W73" s="12">
        <f>IF(AND(C73="F",M73&lt;O73,SUMIFS(Категории!$AH$5:$AH$11,Категории!$A$5:$A$11,B73)=1),1,0)</f>
        <v>1</v>
      </c>
      <c r="X73" s="11">
        <f t="shared" si="28"/>
        <v>430943.98999999976</v>
      </c>
      <c r="Y73" s="10">
        <f>IF(AND(W73=1,SUMIFS(Категории!$AI$5:$AI$11,Категории!$A$5:$A$11,B73)&gt;0),X73/SUMIFS(Категории!$AI$5:$AI$11,Категории!$A$5:$A$11,B73),0)</f>
        <v>0.11373708274331257</v>
      </c>
      <c r="Z73" s="11">
        <f>Y73*SUMIFS(Категории!$AJ$5:$AJ$11,Категории!$A$5:$A$11,B73)</f>
        <v>73829.867609738983</v>
      </c>
      <c r="AA73" s="11">
        <f t="shared" si="29"/>
        <v>73829.867609738983</v>
      </c>
      <c r="AB73" s="11">
        <f t="shared" si="30"/>
        <v>22148.960282921693</v>
      </c>
      <c r="AC73" s="11">
        <f t="shared" si="31"/>
        <v>95978.827892660673</v>
      </c>
      <c r="AD73" s="12">
        <f t="shared" si="32"/>
        <v>4</v>
      </c>
      <c r="AE73" s="12">
        <f t="shared" si="33"/>
        <v>38</v>
      </c>
      <c r="AF73" s="12">
        <f t="shared" si="34"/>
        <v>3</v>
      </c>
      <c r="AG73" s="12">
        <f t="shared" si="35"/>
        <v>19</v>
      </c>
    </row>
    <row r="74" spans="1:33" x14ac:dyDescent="0.3">
      <c r="A74" s="8" t="s">
        <v>132</v>
      </c>
      <c r="B74" s="8" t="s">
        <v>107</v>
      </c>
      <c r="C74" s="8" t="s">
        <v>61</v>
      </c>
      <c r="D74" s="9">
        <v>2088939.28</v>
      </c>
      <c r="E74" s="9">
        <v>208680.51</v>
      </c>
      <c r="F74" s="8">
        <v>5.0999999999999996</v>
      </c>
      <c r="G74" s="8">
        <v>7</v>
      </c>
      <c r="H74" s="8">
        <v>1</v>
      </c>
      <c r="I74" s="8">
        <v>12</v>
      </c>
      <c r="J74" s="10">
        <f t="shared" si="18"/>
        <v>1</v>
      </c>
      <c r="K74" s="11">
        <f t="shared" si="19"/>
        <v>2088939.28</v>
      </c>
      <c r="L74" s="11">
        <f t="shared" si="20"/>
        <v>208680.51</v>
      </c>
      <c r="M74" s="11">
        <f t="shared" si="21"/>
        <v>2297619.79</v>
      </c>
      <c r="N74" s="11">
        <f t="shared" si="22"/>
        <v>2297619.79</v>
      </c>
      <c r="O74" s="11">
        <f t="shared" si="23"/>
        <v>2090862.25</v>
      </c>
      <c r="P74" s="12">
        <f>IF(AND(C74="F",M74&lt;O74,SUMIFS(Категории!$Z$5:$Z$11,Категории!$A$5:$A$11,B74)=1),1,0)</f>
        <v>0</v>
      </c>
      <c r="Q74" s="11">
        <f t="shared" si="24"/>
        <v>0</v>
      </c>
      <c r="R74" s="10">
        <f>IF(AND(P74=1,SUMIFS(Категории!$AA$5:$AA$11,Категории!$A$5:$A$11,B74)&gt;0),Q74/SUMIFS(Категории!$AA$5:$AA$11,Категории!$A$5:$A$11,B74),0)</f>
        <v>0</v>
      </c>
      <c r="S74" s="11">
        <f>R74*SUMIFS(Категории!$AB$5:$AB$11,Категории!$A$5:$A$11,B74)</f>
        <v>0</v>
      </c>
      <c r="T74" s="11">
        <f t="shared" si="25"/>
        <v>0</v>
      </c>
      <c r="U74" s="11">
        <f t="shared" si="26"/>
        <v>0</v>
      </c>
      <c r="V74" s="11">
        <f t="shared" si="27"/>
        <v>0</v>
      </c>
      <c r="W74" s="12">
        <f>IF(AND(C74="F",M74&lt;O74,SUMIFS(Категории!$AH$5:$AH$11,Категории!$A$5:$A$11,B74)=1),1,0)</f>
        <v>0</v>
      </c>
      <c r="X74" s="11">
        <f t="shared" si="28"/>
        <v>0</v>
      </c>
      <c r="Y74" s="10">
        <f>IF(AND(W74=1,SUMIFS(Категории!$AI$5:$AI$11,Категории!$A$5:$A$11,B74)&gt;0),X74/SUMIFS(Категории!$AI$5:$AI$11,Категории!$A$5:$A$11,B74),0)</f>
        <v>0</v>
      </c>
      <c r="Z74" s="11">
        <f>Y74*SUMIFS(Категории!$AJ$5:$AJ$11,Категории!$A$5:$A$11,B74)</f>
        <v>0</v>
      </c>
      <c r="AA74" s="11">
        <f t="shared" si="29"/>
        <v>0</v>
      </c>
      <c r="AB74" s="11">
        <f t="shared" si="30"/>
        <v>0</v>
      </c>
      <c r="AC74" s="11">
        <f t="shared" si="31"/>
        <v>0</v>
      </c>
      <c r="AD74" s="12">
        <f t="shared" si="32"/>
        <v>27</v>
      </c>
      <c r="AE74" s="12">
        <f t="shared" si="33"/>
        <v>38</v>
      </c>
      <c r="AF74" s="12">
        <f t="shared" si="34"/>
        <v>11</v>
      </c>
      <c r="AG74" s="12">
        <f t="shared" si="35"/>
        <v>19</v>
      </c>
    </row>
    <row r="75" spans="1:33" x14ac:dyDescent="0.3">
      <c r="A75" s="8" t="s">
        <v>133</v>
      </c>
      <c r="B75" s="8" t="s">
        <v>107</v>
      </c>
      <c r="C75" s="8" t="s">
        <v>66</v>
      </c>
      <c r="D75" s="9">
        <v>1875989.13</v>
      </c>
      <c r="E75" s="9">
        <v>148844.69</v>
      </c>
      <c r="F75" s="8">
        <v>3.9</v>
      </c>
      <c r="G75" s="8">
        <v>6</v>
      </c>
      <c r="H75" s="8">
        <v>1</v>
      </c>
      <c r="I75" s="8">
        <v>12</v>
      </c>
      <c r="J75" s="10">
        <f t="shared" si="18"/>
        <v>1</v>
      </c>
      <c r="K75" s="11">
        <f t="shared" si="19"/>
        <v>1875989.13</v>
      </c>
      <c r="L75" s="11">
        <f t="shared" si="20"/>
        <v>148844.69</v>
      </c>
      <c r="M75" s="11">
        <f t="shared" si="21"/>
        <v>2024833.8199999998</v>
      </c>
      <c r="N75" s="11">
        <f t="shared" si="22"/>
        <v>2024833.8199999998</v>
      </c>
      <c r="O75" s="11">
        <f t="shared" si="23"/>
        <v>2090862.25</v>
      </c>
      <c r="P75" s="12">
        <f>IF(AND(C75="F",M75&lt;O75,SUMIFS(Категории!$Z$5:$Z$11,Категории!$A$5:$A$11,B75)=1),1,0)</f>
        <v>0</v>
      </c>
      <c r="Q75" s="11">
        <f t="shared" si="24"/>
        <v>0</v>
      </c>
      <c r="R75" s="10">
        <f>IF(AND(P75=1,SUMIFS(Категории!$AA$5:$AA$11,Категории!$A$5:$A$11,B75)&gt;0),Q75/SUMIFS(Категории!$AA$5:$AA$11,Категории!$A$5:$A$11,B75),0)</f>
        <v>0</v>
      </c>
      <c r="S75" s="11">
        <f>R75*SUMIFS(Категории!$AB$5:$AB$11,Категории!$A$5:$A$11,B75)</f>
        <v>0</v>
      </c>
      <c r="T75" s="11">
        <f t="shared" si="25"/>
        <v>0</v>
      </c>
      <c r="U75" s="11">
        <f t="shared" si="26"/>
        <v>0</v>
      </c>
      <c r="V75" s="11">
        <f t="shared" si="27"/>
        <v>0</v>
      </c>
      <c r="W75" s="12">
        <f>IF(AND(C75="F",M75&lt;O75,SUMIFS(Категории!$AH$5:$AH$11,Категории!$A$5:$A$11,B75)=1),1,0)</f>
        <v>1</v>
      </c>
      <c r="X75" s="11">
        <f t="shared" si="28"/>
        <v>66028.430000000168</v>
      </c>
      <c r="Y75" s="10">
        <f>IF(AND(W75=1,SUMIFS(Категории!$AI$5:$AI$11,Категории!$A$5:$A$11,B75)&gt;0),X75/SUMIFS(Категории!$AI$5:$AI$11,Категории!$A$5:$A$11,B75),0)</f>
        <v>1.742658252716564E-2</v>
      </c>
      <c r="Z75" s="11">
        <f>Y75*SUMIFS(Категории!$AJ$5:$AJ$11,Категории!$A$5:$A$11,B75)</f>
        <v>11312.073862264404</v>
      </c>
      <c r="AA75" s="11">
        <f t="shared" si="29"/>
        <v>11312.073862264404</v>
      </c>
      <c r="AB75" s="11">
        <f t="shared" si="30"/>
        <v>3393.6221586793213</v>
      </c>
      <c r="AC75" s="11">
        <f t="shared" si="31"/>
        <v>14705.696020943726</v>
      </c>
      <c r="AD75" s="12">
        <f t="shared" si="32"/>
        <v>16</v>
      </c>
      <c r="AE75" s="12">
        <f t="shared" si="33"/>
        <v>38</v>
      </c>
      <c r="AF75" s="12">
        <f t="shared" si="34"/>
        <v>11</v>
      </c>
      <c r="AG75" s="12">
        <f t="shared" si="35"/>
        <v>19</v>
      </c>
    </row>
    <row r="76" spans="1:33" x14ac:dyDescent="0.3">
      <c r="A76" s="8" t="s">
        <v>134</v>
      </c>
      <c r="B76" s="8" t="s">
        <v>107</v>
      </c>
      <c r="C76" s="8" t="s">
        <v>66</v>
      </c>
      <c r="D76" s="9">
        <v>1875321.39</v>
      </c>
      <c r="E76" s="9">
        <v>155535.44</v>
      </c>
      <c r="F76" s="8">
        <v>6.6</v>
      </c>
      <c r="G76" s="8">
        <v>6</v>
      </c>
      <c r="H76" s="8">
        <v>1</v>
      </c>
      <c r="I76" s="8">
        <v>12</v>
      </c>
      <c r="J76" s="10">
        <f t="shared" si="18"/>
        <v>1</v>
      </c>
      <c r="K76" s="11">
        <f t="shared" si="19"/>
        <v>1875321.39</v>
      </c>
      <c r="L76" s="11">
        <f t="shared" si="20"/>
        <v>155535.44</v>
      </c>
      <c r="M76" s="11">
        <f t="shared" si="21"/>
        <v>2030856.8299999998</v>
      </c>
      <c r="N76" s="11">
        <f t="shared" si="22"/>
        <v>2030856.8299999998</v>
      </c>
      <c r="O76" s="11">
        <f t="shared" si="23"/>
        <v>2090862.25</v>
      </c>
      <c r="P76" s="12">
        <f>IF(AND(C76="F",M76&lt;O76,SUMIFS(Категории!$Z$5:$Z$11,Категории!$A$5:$A$11,B76)=1),1,0)</f>
        <v>0</v>
      </c>
      <c r="Q76" s="11">
        <f t="shared" si="24"/>
        <v>0</v>
      </c>
      <c r="R76" s="10">
        <f>IF(AND(P76=1,SUMIFS(Категории!$AA$5:$AA$11,Категории!$A$5:$A$11,B76)&gt;0),Q76/SUMIFS(Категории!$AA$5:$AA$11,Категории!$A$5:$A$11,B76),0)</f>
        <v>0</v>
      </c>
      <c r="S76" s="11">
        <f>R76*SUMIFS(Категории!$AB$5:$AB$11,Категории!$A$5:$A$11,B76)</f>
        <v>0</v>
      </c>
      <c r="T76" s="11">
        <f t="shared" si="25"/>
        <v>0</v>
      </c>
      <c r="U76" s="11">
        <f t="shared" si="26"/>
        <v>0</v>
      </c>
      <c r="V76" s="11">
        <f t="shared" si="27"/>
        <v>0</v>
      </c>
      <c r="W76" s="12">
        <f>IF(AND(C76="F",M76&lt;O76,SUMIFS(Категории!$AH$5:$AH$11,Категории!$A$5:$A$11,B76)=1),1,0)</f>
        <v>1</v>
      </c>
      <c r="X76" s="11">
        <f t="shared" si="28"/>
        <v>60005.420000000158</v>
      </c>
      <c r="Y76" s="10">
        <f>IF(AND(W76=1,SUMIFS(Категории!$AI$5:$AI$11,Категории!$A$5:$A$11,B76)&gt;0),X76/SUMIFS(Категории!$AI$5:$AI$11,Категории!$A$5:$A$11,B76),0)</f>
        <v>1.5836956954863774E-2</v>
      </c>
      <c r="Z76" s="11">
        <f>Y76*SUMIFS(Категории!$AJ$5:$AJ$11,Категории!$A$5:$A$11,B76)</f>
        <v>10280.204196528644</v>
      </c>
      <c r="AA76" s="11">
        <f t="shared" si="29"/>
        <v>10280.204196528644</v>
      </c>
      <c r="AB76" s="11">
        <f t="shared" si="30"/>
        <v>3084.061258958593</v>
      </c>
      <c r="AC76" s="11">
        <f t="shared" si="31"/>
        <v>13364.265455487237</v>
      </c>
      <c r="AD76" s="12">
        <f t="shared" si="32"/>
        <v>17</v>
      </c>
      <c r="AE76" s="12">
        <f t="shared" si="33"/>
        <v>38</v>
      </c>
      <c r="AF76" s="12">
        <f t="shared" si="34"/>
        <v>12</v>
      </c>
      <c r="AG76" s="12">
        <f t="shared" si="35"/>
        <v>19</v>
      </c>
    </row>
    <row r="77" spans="1:33" x14ac:dyDescent="0.3">
      <c r="A77" s="8" t="s">
        <v>135</v>
      </c>
      <c r="B77" s="8" t="s">
        <v>107</v>
      </c>
      <c r="C77" s="8" t="s">
        <v>61</v>
      </c>
      <c r="D77" s="9">
        <v>2408315.2200000002</v>
      </c>
      <c r="E77" s="9">
        <v>180599.57</v>
      </c>
      <c r="F77" s="8">
        <v>8.9</v>
      </c>
      <c r="G77" s="8">
        <v>8</v>
      </c>
      <c r="H77" s="8">
        <v>1</v>
      </c>
      <c r="I77" s="8">
        <v>12</v>
      </c>
      <c r="J77" s="10">
        <f t="shared" si="18"/>
        <v>1</v>
      </c>
      <c r="K77" s="11">
        <f t="shared" si="19"/>
        <v>2408315.2200000002</v>
      </c>
      <c r="L77" s="11">
        <f t="shared" si="20"/>
        <v>180599.57</v>
      </c>
      <c r="M77" s="11">
        <f t="shared" si="21"/>
        <v>2588914.79</v>
      </c>
      <c r="N77" s="11">
        <f t="shared" si="22"/>
        <v>2588914.79</v>
      </c>
      <c r="O77" s="11">
        <f t="shared" si="23"/>
        <v>2090862.25</v>
      </c>
      <c r="P77" s="12">
        <f>IF(AND(C77="F",M77&lt;O77,SUMIFS(Категории!$Z$5:$Z$11,Категории!$A$5:$A$11,B77)=1),1,0)</f>
        <v>0</v>
      </c>
      <c r="Q77" s="11">
        <f t="shared" si="24"/>
        <v>0</v>
      </c>
      <c r="R77" s="10">
        <f>IF(AND(P77=1,SUMIFS(Категории!$AA$5:$AA$11,Категории!$A$5:$A$11,B77)&gt;0),Q77/SUMIFS(Категории!$AA$5:$AA$11,Категории!$A$5:$A$11,B77),0)</f>
        <v>0</v>
      </c>
      <c r="S77" s="11">
        <f>R77*SUMIFS(Категории!$AB$5:$AB$11,Категории!$A$5:$A$11,B77)</f>
        <v>0</v>
      </c>
      <c r="T77" s="11">
        <f t="shared" si="25"/>
        <v>0</v>
      </c>
      <c r="U77" s="11">
        <f t="shared" si="26"/>
        <v>0</v>
      </c>
      <c r="V77" s="11">
        <f t="shared" si="27"/>
        <v>0</v>
      </c>
      <c r="W77" s="12">
        <f>IF(AND(C77="F",M77&lt;O77,SUMIFS(Категории!$AH$5:$AH$11,Категории!$A$5:$A$11,B77)=1),1,0)</f>
        <v>0</v>
      </c>
      <c r="X77" s="11">
        <f t="shared" si="28"/>
        <v>0</v>
      </c>
      <c r="Y77" s="10">
        <f>IF(AND(W77=1,SUMIFS(Категории!$AI$5:$AI$11,Категории!$A$5:$A$11,B77)&gt;0),X77/SUMIFS(Категории!$AI$5:$AI$11,Категории!$A$5:$A$11,B77),0)</f>
        <v>0</v>
      </c>
      <c r="Z77" s="11">
        <f>Y77*SUMIFS(Категории!$AJ$5:$AJ$11,Категории!$A$5:$A$11,B77)</f>
        <v>0</v>
      </c>
      <c r="AA77" s="11">
        <f t="shared" si="29"/>
        <v>0</v>
      </c>
      <c r="AB77" s="11">
        <f t="shared" si="30"/>
        <v>0</v>
      </c>
      <c r="AC77" s="11">
        <f t="shared" si="31"/>
        <v>0</v>
      </c>
      <c r="AD77" s="12">
        <f t="shared" si="32"/>
        <v>32</v>
      </c>
      <c r="AE77" s="12">
        <f t="shared" si="33"/>
        <v>38</v>
      </c>
      <c r="AF77" s="12">
        <f t="shared" si="34"/>
        <v>15</v>
      </c>
      <c r="AG77" s="12">
        <f t="shared" si="35"/>
        <v>19</v>
      </c>
    </row>
    <row r="78" spans="1:33" x14ac:dyDescent="0.3">
      <c r="A78" s="8" t="s">
        <v>136</v>
      </c>
      <c r="B78" s="8" t="s">
        <v>107</v>
      </c>
      <c r="C78" s="8" t="s">
        <v>66</v>
      </c>
      <c r="D78" s="9">
        <v>1617154.65</v>
      </c>
      <c r="E78" s="9">
        <v>137998.04999999999</v>
      </c>
      <c r="F78" s="8">
        <v>5.5</v>
      </c>
      <c r="G78" s="8">
        <v>6</v>
      </c>
      <c r="H78" s="8">
        <v>1</v>
      </c>
      <c r="I78" s="8">
        <v>12</v>
      </c>
      <c r="J78" s="10">
        <f t="shared" si="18"/>
        <v>1</v>
      </c>
      <c r="K78" s="11">
        <f t="shared" si="19"/>
        <v>1617154.65</v>
      </c>
      <c r="L78" s="11">
        <f t="shared" si="20"/>
        <v>137998.04999999999</v>
      </c>
      <c r="M78" s="11">
        <f t="shared" si="21"/>
        <v>1755152.7</v>
      </c>
      <c r="N78" s="11">
        <f t="shared" si="22"/>
        <v>1755152.7</v>
      </c>
      <c r="O78" s="11">
        <f t="shared" si="23"/>
        <v>2090862.25</v>
      </c>
      <c r="P78" s="12">
        <f>IF(AND(C78="F",M78&lt;O78,SUMIFS(Категории!$Z$5:$Z$11,Категории!$A$5:$A$11,B78)=1),1,0)</f>
        <v>0</v>
      </c>
      <c r="Q78" s="11">
        <f t="shared" si="24"/>
        <v>0</v>
      </c>
      <c r="R78" s="10">
        <f>IF(AND(P78=1,SUMIFS(Категории!$AA$5:$AA$11,Категории!$A$5:$A$11,B78)&gt;0),Q78/SUMIFS(Категории!$AA$5:$AA$11,Категории!$A$5:$A$11,B78),0)</f>
        <v>0</v>
      </c>
      <c r="S78" s="11">
        <f>R78*SUMIFS(Категории!$AB$5:$AB$11,Категории!$A$5:$A$11,B78)</f>
        <v>0</v>
      </c>
      <c r="T78" s="11">
        <f t="shared" si="25"/>
        <v>0</v>
      </c>
      <c r="U78" s="11">
        <f t="shared" si="26"/>
        <v>0</v>
      </c>
      <c r="V78" s="11">
        <f t="shared" si="27"/>
        <v>0</v>
      </c>
      <c r="W78" s="12">
        <f>IF(AND(C78="F",M78&lt;O78,SUMIFS(Категории!$AH$5:$AH$11,Категории!$A$5:$A$11,B78)=1),1,0)</f>
        <v>1</v>
      </c>
      <c r="X78" s="11">
        <f t="shared" si="28"/>
        <v>335709.55000000005</v>
      </c>
      <c r="Y78" s="10">
        <f>IF(AND(W78=1,SUMIFS(Категории!$AI$5:$AI$11,Категории!$A$5:$A$11,B78)&gt;0),X78/SUMIFS(Категории!$AI$5:$AI$11,Категории!$A$5:$A$11,B78),0)</f>
        <v>8.8602291137811789E-2</v>
      </c>
      <c r="Z78" s="11">
        <f>Y78*SUMIFS(Категории!$AJ$5:$AJ$11,Категории!$A$5:$A$11,B78)</f>
        <v>57514.18329752102</v>
      </c>
      <c r="AA78" s="11">
        <f t="shared" si="29"/>
        <v>57514.18329752102</v>
      </c>
      <c r="AB78" s="11">
        <f t="shared" si="30"/>
        <v>17254.254989256304</v>
      </c>
      <c r="AC78" s="11">
        <f t="shared" si="31"/>
        <v>74768.438286777324</v>
      </c>
      <c r="AD78" s="12">
        <f t="shared" si="32"/>
        <v>8</v>
      </c>
      <c r="AE78" s="12">
        <f t="shared" si="33"/>
        <v>38</v>
      </c>
      <c r="AF78" s="12">
        <f t="shared" si="34"/>
        <v>6</v>
      </c>
      <c r="AG78" s="12">
        <f t="shared" si="35"/>
        <v>19</v>
      </c>
    </row>
    <row r="79" spans="1:33" x14ac:dyDescent="0.3">
      <c r="A79" s="8" t="s">
        <v>137</v>
      </c>
      <c r="B79" s="8" t="s">
        <v>107</v>
      </c>
      <c r="C79" s="8" t="s">
        <v>66</v>
      </c>
      <c r="D79" s="9">
        <v>2026973.92</v>
      </c>
      <c r="E79" s="9">
        <v>130167</v>
      </c>
      <c r="F79" s="8">
        <v>3.3</v>
      </c>
      <c r="G79" s="8">
        <v>7</v>
      </c>
      <c r="H79" s="8">
        <v>1</v>
      </c>
      <c r="I79" s="8">
        <v>12</v>
      </c>
      <c r="J79" s="10">
        <f t="shared" si="18"/>
        <v>1</v>
      </c>
      <c r="K79" s="11">
        <f t="shared" si="19"/>
        <v>2026973.92</v>
      </c>
      <c r="L79" s="11">
        <f t="shared" si="20"/>
        <v>130167</v>
      </c>
      <c r="M79" s="11">
        <f t="shared" si="21"/>
        <v>2157140.92</v>
      </c>
      <c r="N79" s="11">
        <f t="shared" si="22"/>
        <v>2157140.92</v>
      </c>
      <c r="O79" s="11">
        <f t="shared" si="23"/>
        <v>2090862.25</v>
      </c>
      <c r="P79" s="12">
        <f>IF(AND(C79="F",M79&lt;O79,SUMIFS(Категории!$Z$5:$Z$11,Категории!$A$5:$A$11,B79)=1),1,0)</f>
        <v>0</v>
      </c>
      <c r="Q79" s="11">
        <f t="shared" si="24"/>
        <v>0</v>
      </c>
      <c r="R79" s="10">
        <f>IF(AND(P79=1,SUMIFS(Категории!$AA$5:$AA$11,Категории!$A$5:$A$11,B79)&gt;0),Q79/SUMIFS(Категории!$AA$5:$AA$11,Категории!$A$5:$A$11,B79),0)</f>
        <v>0</v>
      </c>
      <c r="S79" s="11">
        <f>R79*SUMIFS(Категории!$AB$5:$AB$11,Категории!$A$5:$A$11,B79)</f>
        <v>0</v>
      </c>
      <c r="T79" s="11">
        <f t="shared" si="25"/>
        <v>0</v>
      </c>
      <c r="U79" s="11">
        <f t="shared" si="26"/>
        <v>0</v>
      </c>
      <c r="V79" s="11">
        <f t="shared" si="27"/>
        <v>0</v>
      </c>
      <c r="W79" s="12">
        <f>IF(AND(C79="F",M79&lt;O79,SUMIFS(Категории!$AH$5:$AH$11,Категории!$A$5:$A$11,B79)=1),1,0)</f>
        <v>0</v>
      </c>
      <c r="X79" s="11">
        <f t="shared" si="28"/>
        <v>0</v>
      </c>
      <c r="Y79" s="10">
        <f>IF(AND(W79=1,SUMIFS(Категории!$AI$5:$AI$11,Категории!$A$5:$A$11,B79)&gt;0),X79/SUMIFS(Категории!$AI$5:$AI$11,Категории!$A$5:$A$11,B79),0)</f>
        <v>0</v>
      </c>
      <c r="Z79" s="11">
        <f>Y79*SUMIFS(Категории!$AJ$5:$AJ$11,Категории!$A$5:$A$11,B79)</f>
        <v>0</v>
      </c>
      <c r="AA79" s="11">
        <f t="shared" si="29"/>
        <v>0</v>
      </c>
      <c r="AB79" s="11">
        <f t="shared" si="30"/>
        <v>0</v>
      </c>
      <c r="AC79" s="11">
        <f t="shared" si="31"/>
        <v>0</v>
      </c>
      <c r="AD79" s="12">
        <f t="shared" si="32"/>
        <v>23</v>
      </c>
      <c r="AE79" s="12">
        <f t="shared" si="33"/>
        <v>38</v>
      </c>
      <c r="AF79" s="12">
        <f t="shared" si="34"/>
        <v>15</v>
      </c>
      <c r="AG79" s="12">
        <f t="shared" si="35"/>
        <v>19</v>
      </c>
    </row>
    <row r="80" spans="1:33" x14ac:dyDescent="0.3">
      <c r="A80" s="8" t="s">
        <v>138</v>
      </c>
      <c r="B80" s="8" t="s">
        <v>107</v>
      </c>
      <c r="C80" s="8" t="s">
        <v>61</v>
      </c>
      <c r="D80" s="9">
        <v>1703376.11</v>
      </c>
      <c r="E80" s="9">
        <v>168434.21</v>
      </c>
      <c r="F80" s="8">
        <v>5.8</v>
      </c>
      <c r="G80" s="8">
        <v>5</v>
      </c>
      <c r="H80" s="8">
        <v>1</v>
      </c>
      <c r="I80" s="8">
        <v>12</v>
      </c>
      <c r="J80" s="10">
        <f t="shared" si="18"/>
        <v>1</v>
      </c>
      <c r="K80" s="11">
        <f t="shared" si="19"/>
        <v>1703376.11</v>
      </c>
      <c r="L80" s="11">
        <f t="shared" si="20"/>
        <v>168434.21</v>
      </c>
      <c r="M80" s="11">
        <f t="shared" si="21"/>
        <v>1871810.32</v>
      </c>
      <c r="N80" s="11">
        <f t="shared" si="22"/>
        <v>1871810.32</v>
      </c>
      <c r="O80" s="11">
        <f t="shared" si="23"/>
        <v>2090862.25</v>
      </c>
      <c r="P80" s="12">
        <f>IF(AND(C80="F",M80&lt;O80,SUMIFS(Категории!$Z$5:$Z$11,Категории!$A$5:$A$11,B80)=1),1,0)</f>
        <v>0</v>
      </c>
      <c r="Q80" s="11">
        <f t="shared" si="24"/>
        <v>0</v>
      </c>
      <c r="R80" s="10">
        <f>IF(AND(P80=1,SUMIFS(Категории!$AA$5:$AA$11,Категории!$A$5:$A$11,B80)&gt;0),Q80/SUMIFS(Категории!$AA$5:$AA$11,Категории!$A$5:$A$11,B80),0)</f>
        <v>0</v>
      </c>
      <c r="S80" s="11">
        <f>R80*SUMIFS(Категории!$AB$5:$AB$11,Категории!$A$5:$A$11,B80)</f>
        <v>0</v>
      </c>
      <c r="T80" s="11">
        <f t="shared" si="25"/>
        <v>0</v>
      </c>
      <c r="U80" s="11">
        <f t="shared" si="26"/>
        <v>0</v>
      </c>
      <c r="V80" s="11">
        <f t="shared" si="27"/>
        <v>0</v>
      </c>
      <c r="W80" s="12">
        <f>IF(AND(C80="F",M80&lt;O80,SUMIFS(Категории!$AH$5:$AH$11,Категории!$A$5:$A$11,B80)=1),1,0)</f>
        <v>0</v>
      </c>
      <c r="X80" s="11">
        <f t="shared" si="28"/>
        <v>0</v>
      </c>
      <c r="Y80" s="10">
        <f>IF(AND(W80=1,SUMIFS(Категории!$AI$5:$AI$11,Категории!$A$5:$A$11,B80)&gt;0),X80/SUMIFS(Категории!$AI$5:$AI$11,Категории!$A$5:$A$11,B80),0)</f>
        <v>0</v>
      </c>
      <c r="Z80" s="11">
        <f>Y80*SUMIFS(Категории!$AJ$5:$AJ$11,Категории!$A$5:$A$11,B80)</f>
        <v>0</v>
      </c>
      <c r="AA80" s="11">
        <f t="shared" si="29"/>
        <v>0</v>
      </c>
      <c r="AB80" s="11">
        <f t="shared" si="30"/>
        <v>0</v>
      </c>
      <c r="AC80" s="11">
        <f t="shared" si="31"/>
        <v>0</v>
      </c>
      <c r="AD80" s="12">
        <f t="shared" si="32"/>
        <v>13</v>
      </c>
      <c r="AE80" s="12">
        <f t="shared" si="33"/>
        <v>38</v>
      </c>
      <c r="AF80" s="12">
        <f t="shared" si="34"/>
        <v>3</v>
      </c>
      <c r="AG80" s="12">
        <f t="shared" si="35"/>
        <v>19</v>
      </c>
    </row>
    <row r="81" spans="1:33" x14ac:dyDescent="0.3">
      <c r="A81" s="8" t="s">
        <v>139</v>
      </c>
      <c r="B81" s="8" t="s">
        <v>107</v>
      </c>
      <c r="C81" s="8" t="s">
        <v>66</v>
      </c>
      <c r="D81" s="9">
        <v>1525325.03</v>
      </c>
      <c r="E81" s="9">
        <v>101037.43</v>
      </c>
      <c r="F81" s="8">
        <v>2.9</v>
      </c>
      <c r="G81" s="8">
        <v>5</v>
      </c>
      <c r="H81" s="8">
        <v>1</v>
      </c>
      <c r="I81" s="8">
        <v>12</v>
      </c>
      <c r="J81" s="10">
        <f t="shared" si="18"/>
        <v>1</v>
      </c>
      <c r="K81" s="11">
        <f t="shared" si="19"/>
        <v>1525325.03</v>
      </c>
      <c r="L81" s="11">
        <f t="shared" si="20"/>
        <v>101037.43</v>
      </c>
      <c r="M81" s="11">
        <f t="shared" si="21"/>
        <v>1626362.46</v>
      </c>
      <c r="N81" s="11">
        <f t="shared" si="22"/>
        <v>1626362.46</v>
      </c>
      <c r="O81" s="11">
        <f t="shared" si="23"/>
        <v>2090862.25</v>
      </c>
      <c r="P81" s="12">
        <f>IF(AND(C81="F",M81&lt;O81,SUMIFS(Категории!$Z$5:$Z$11,Категории!$A$5:$A$11,B81)=1),1,0)</f>
        <v>0</v>
      </c>
      <c r="Q81" s="11">
        <f t="shared" si="24"/>
        <v>0</v>
      </c>
      <c r="R81" s="10">
        <f>IF(AND(P81=1,SUMIFS(Категории!$AA$5:$AA$11,Категории!$A$5:$A$11,B81)&gt;0),Q81/SUMIFS(Категории!$AA$5:$AA$11,Категории!$A$5:$A$11,B81),0)</f>
        <v>0</v>
      </c>
      <c r="S81" s="11">
        <f>R81*SUMIFS(Категории!$AB$5:$AB$11,Категории!$A$5:$A$11,B81)</f>
        <v>0</v>
      </c>
      <c r="T81" s="11">
        <f t="shared" si="25"/>
        <v>0</v>
      </c>
      <c r="U81" s="11">
        <f t="shared" si="26"/>
        <v>0</v>
      </c>
      <c r="V81" s="11">
        <f t="shared" si="27"/>
        <v>0</v>
      </c>
      <c r="W81" s="12">
        <f>IF(AND(C81="F",M81&lt;O81,SUMIFS(Категории!$AH$5:$AH$11,Категории!$A$5:$A$11,B81)=1),1,0)</f>
        <v>1</v>
      </c>
      <c r="X81" s="11">
        <f t="shared" si="28"/>
        <v>464499.79000000004</v>
      </c>
      <c r="Y81" s="10">
        <f>IF(AND(W81=1,SUMIFS(Категории!$AI$5:$AI$11,Категории!$A$5:$A$11,B81)&gt;0),X81/SUMIFS(Категории!$AI$5:$AI$11,Категории!$A$5:$A$11,B81),0)</f>
        <v>0.12259331206703067</v>
      </c>
      <c r="Z81" s="11">
        <f>Y81*SUMIFS(Категории!$AJ$5:$AJ$11,Категории!$A$5:$A$11,B81)</f>
        <v>79578.689565786917</v>
      </c>
      <c r="AA81" s="11">
        <f t="shared" si="29"/>
        <v>79578.689565786917</v>
      </c>
      <c r="AB81" s="11">
        <f t="shared" si="30"/>
        <v>23873.606869736075</v>
      </c>
      <c r="AC81" s="11">
        <f t="shared" si="31"/>
        <v>103452.29643552299</v>
      </c>
      <c r="AD81" s="12">
        <f t="shared" si="32"/>
        <v>1</v>
      </c>
      <c r="AE81" s="12">
        <f t="shared" si="33"/>
        <v>38</v>
      </c>
      <c r="AF81" s="12">
        <f t="shared" si="34"/>
        <v>1</v>
      </c>
      <c r="AG81" s="12">
        <f t="shared" si="35"/>
        <v>19</v>
      </c>
    </row>
    <row r="82" spans="1:33" x14ac:dyDescent="0.3">
      <c r="A82" s="8" t="s">
        <v>140</v>
      </c>
      <c r="B82" s="8" t="s">
        <v>107</v>
      </c>
      <c r="C82" s="8" t="s">
        <v>61</v>
      </c>
      <c r="D82" s="9">
        <v>2252781.14</v>
      </c>
      <c r="E82" s="9">
        <v>142008.99</v>
      </c>
      <c r="F82" s="8">
        <v>7.5</v>
      </c>
      <c r="G82" s="8">
        <v>8</v>
      </c>
      <c r="H82" s="8">
        <v>1</v>
      </c>
      <c r="I82" s="8">
        <v>12</v>
      </c>
      <c r="J82" s="10">
        <f t="shared" si="18"/>
        <v>1</v>
      </c>
      <c r="K82" s="11">
        <f t="shared" si="19"/>
        <v>2252781.14</v>
      </c>
      <c r="L82" s="11">
        <f t="shared" si="20"/>
        <v>142008.99</v>
      </c>
      <c r="M82" s="11">
        <f t="shared" si="21"/>
        <v>2394790.13</v>
      </c>
      <c r="N82" s="11">
        <f t="shared" si="22"/>
        <v>2394790.13</v>
      </c>
      <c r="O82" s="11">
        <f t="shared" si="23"/>
        <v>2090862.25</v>
      </c>
      <c r="P82" s="12">
        <f>IF(AND(C82="F",M82&lt;O82,SUMIFS(Категории!$Z$5:$Z$11,Категории!$A$5:$A$11,B82)=1),1,0)</f>
        <v>0</v>
      </c>
      <c r="Q82" s="11">
        <f t="shared" si="24"/>
        <v>0</v>
      </c>
      <c r="R82" s="10">
        <f>IF(AND(P82=1,SUMIFS(Категории!$AA$5:$AA$11,Категории!$A$5:$A$11,B82)&gt;0),Q82/SUMIFS(Категории!$AA$5:$AA$11,Категории!$A$5:$A$11,B82),0)</f>
        <v>0</v>
      </c>
      <c r="S82" s="11">
        <f>R82*SUMIFS(Категории!$AB$5:$AB$11,Категории!$A$5:$A$11,B82)</f>
        <v>0</v>
      </c>
      <c r="T82" s="11">
        <f t="shared" si="25"/>
        <v>0</v>
      </c>
      <c r="U82" s="11">
        <f t="shared" si="26"/>
        <v>0</v>
      </c>
      <c r="V82" s="11">
        <f t="shared" si="27"/>
        <v>0</v>
      </c>
      <c r="W82" s="12">
        <f>IF(AND(C82="F",M82&lt;O82,SUMIFS(Категории!$AH$5:$AH$11,Категории!$A$5:$A$11,B82)=1),1,0)</f>
        <v>0</v>
      </c>
      <c r="X82" s="11">
        <f t="shared" si="28"/>
        <v>0</v>
      </c>
      <c r="Y82" s="10">
        <f>IF(AND(W82=1,SUMIFS(Категории!$AI$5:$AI$11,Категории!$A$5:$A$11,B82)&gt;0),X82/SUMIFS(Категории!$AI$5:$AI$11,Категории!$A$5:$A$11,B82),0)</f>
        <v>0</v>
      </c>
      <c r="Z82" s="11">
        <f>Y82*SUMIFS(Категории!$AJ$5:$AJ$11,Категории!$A$5:$A$11,B82)</f>
        <v>0</v>
      </c>
      <c r="AA82" s="11">
        <f t="shared" si="29"/>
        <v>0</v>
      </c>
      <c r="AB82" s="11">
        <f t="shared" si="30"/>
        <v>0</v>
      </c>
      <c r="AC82" s="11">
        <f t="shared" si="31"/>
        <v>0</v>
      </c>
      <c r="AD82" s="12">
        <f t="shared" si="32"/>
        <v>28</v>
      </c>
      <c r="AE82" s="12">
        <f t="shared" si="33"/>
        <v>38</v>
      </c>
      <c r="AF82" s="12">
        <f t="shared" si="34"/>
        <v>12</v>
      </c>
      <c r="AG82" s="12">
        <f t="shared" si="35"/>
        <v>19</v>
      </c>
    </row>
    <row r="83" spans="1:33" x14ac:dyDescent="0.3">
      <c r="A83" s="8" t="s">
        <v>141</v>
      </c>
      <c r="B83" s="8" t="s">
        <v>107</v>
      </c>
      <c r="C83" s="8" t="s">
        <v>61</v>
      </c>
      <c r="D83" s="9">
        <v>1888358.47</v>
      </c>
      <c r="E83" s="9">
        <v>182876.84</v>
      </c>
      <c r="F83" s="8">
        <v>5.6</v>
      </c>
      <c r="G83" s="8">
        <v>6</v>
      </c>
      <c r="H83" s="8">
        <v>1</v>
      </c>
      <c r="I83" s="8">
        <v>12</v>
      </c>
      <c r="J83" s="10">
        <f t="shared" si="18"/>
        <v>1</v>
      </c>
      <c r="K83" s="11">
        <f t="shared" si="19"/>
        <v>1888358.47</v>
      </c>
      <c r="L83" s="11">
        <f t="shared" si="20"/>
        <v>182876.84</v>
      </c>
      <c r="M83" s="11">
        <f t="shared" si="21"/>
        <v>2071235.31</v>
      </c>
      <c r="N83" s="11">
        <f t="shared" si="22"/>
        <v>2071235.31</v>
      </c>
      <c r="O83" s="11">
        <f t="shared" si="23"/>
        <v>2090862.25</v>
      </c>
      <c r="P83" s="12">
        <f>IF(AND(C83="F",M83&lt;O83,SUMIFS(Категории!$Z$5:$Z$11,Категории!$A$5:$A$11,B83)=1),1,0)</f>
        <v>0</v>
      </c>
      <c r="Q83" s="11">
        <f t="shared" si="24"/>
        <v>0</v>
      </c>
      <c r="R83" s="10">
        <f>IF(AND(P83=1,SUMIFS(Категории!$AA$5:$AA$11,Категории!$A$5:$A$11,B83)&gt;0),Q83/SUMIFS(Категории!$AA$5:$AA$11,Категории!$A$5:$A$11,B83),0)</f>
        <v>0</v>
      </c>
      <c r="S83" s="11">
        <f>R83*SUMIFS(Категории!$AB$5:$AB$11,Категории!$A$5:$A$11,B83)</f>
        <v>0</v>
      </c>
      <c r="T83" s="11">
        <f t="shared" si="25"/>
        <v>0</v>
      </c>
      <c r="U83" s="11">
        <f t="shared" si="26"/>
        <v>0</v>
      </c>
      <c r="V83" s="11">
        <f t="shared" si="27"/>
        <v>0</v>
      </c>
      <c r="W83" s="12">
        <f>IF(AND(C83="F",M83&lt;O83,SUMIFS(Категории!$AH$5:$AH$11,Категории!$A$5:$A$11,B83)=1),1,0)</f>
        <v>0</v>
      </c>
      <c r="X83" s="11">
        <f t="shared" si="28"/>
        <v>0</v>
      </c>
      <c r="Y83" s="10">
        <f>IF(AND(W83=1,SUMIFS(Категории!$AI$5:$AI$11,Категории!$A$5:$A$11,B83)&gt;0),X83/SUMIFS(Категории!$AI$5:$AI$11,Категории!$A$5:$A$11,B83),0)</f>
        <v>0</v>
      </c>
      <c r="Z83" s="11">
        <f>Y83*SUMIFS(Категории!$AJ$5:$AJ$11,Категории!$A$5:$A$11,B83)</f>
        <v>0</v>
      </c>
      <c r="AA83" s="11">
        <f t="shared" si="29"/>
        <v>0</v>
      </c>
      <c r="AB83" s="11">
        <f t="shared" si="30"/>
        <v>0</v>
      </c>
      <c r="AC83" s="11">
        <f t="shared" si="31"/>
        <v>0</v>
      </c>
      <c r="AD83" s="12">
        <f t="shared" si="32"/>
        <v>18</v>
      </c>
      <c r="AE83" s="12">
        <f t="shared" si="33"/>
        <v>38</v>
      </c>
      <c r="AF83" s="12">
        <f t="shared" si="34"/>
        <v>6</v>
      </c>
      <c r="AG83" s="12">
        <f t="shared" si="35"/>
        <v>19</v>
      </c>
    </row>
    <row r="84" spans="1:33" x14ac:dyDescent="0.3">
      <c r="A84" s="8" t="s">
        <v>142</v>
      </c>
      <c r="B84" s="8" t="s">
        <v>107</v>
      </c>
      <c r="C84" s="8" t="s">
        <v>61</v>
      </c>
      <c r="D84" s="9">
        <v>2676675.98</v>
      </c>
      <c r="E84" s="9">
        <v>185467.43</v>
      </c>
      <c r="F84" s="8">
        <v>10</v>
      </c>
      <c r="G84" s="8">
        <v>9</v>
      </c>
      <c r="H84" s="8">
        <v>1</v>
      </c>
      <c r="I84" s="8">
        <v>12</v>
      </c>
      <c r="J84" s="10">
        <f t="shared" si="18"/>
        <v>1</v>
      </c>
      <c r="K84" s="11">
        <f t="shared" si="19"/>
        <v>2676675.98</v>
      </c>
      <c r="L84" s="11">
        <f t="shared" si="20"/>
        <v>185467.43</v>
      </c>
      <c r="M84" s="11">
        <f t="shared" si="21"/>
        <v>2862143.41</v>
      </c>
      <c r="N84" s="11">
        <f t="shared" si="22"/>
        <v>2862143.41</v>
      </c>
      <c r="O84" s="11">
        <f t="shared" si="23"/>
        <v>2090862.25</v>
      </c>
      <c r="P84" s="12">
        <f>IF(AND(C84="F",M84&lt;O84,SUMIFS(Категории!$Z$5:$Z$11,Категории!$A$5:$A$11,B84)=1),1,0)</f>
        <v>0</v>
      </c>
      <c r="Q84" s="11">
        <f t="shared" si="24"/>
        <v>0</v>
      </c>
      <c r="R84" s="10">
        <f>IF(AND(P84=1,SUMIFS(Категории!$AA$5:$AA$11,Категории!$A$5:$A$11,B84)&gt;0),Q84/SUMIFS(Категории!$AA$5:$AA$11,Категории!$A$5:$A$11,B84),0)</f>
        <v>0</v>
      </c>
      <c r="S84" s="11">
        <f>R84*SUMIFS(Категории!$AB$5:$AB$11,Категории!$A$5:$A$11,B84)</f>
        <v>0</v>
      </c>
      <c r="T84" s="11">
        <f t="shared" si="25"/>
        <v>0</v>
      </c>
      <c r="U84" s="11">
        <f t="shared" si="26"/>
        <v>0</v>
      </c>
      <c r="V84" s="11">
        <f t="shared" si="27"/>
        <v>0</v>
      </c>
      <c r="W84" s="12">
        <f>IF(AND(C84="F",M84&lt;O84,SUMIFS(Категории!$AH$5:$AH$11,Категории!$A$5:$A$11,B84)=1),1,0)</f>
        <v>0</v>
      </c>
      <c r="X84" s="11">
        <f t="shared" si="28"/>
        <v>0</v>
      </c>
      <c r="Y84" s="10">
        <f>IF(AND(W84=1,SUMIFS(Категории!$AI$5:$AI$11,Категории!$A$5:$A$11,B84)&gt;0),X84/SUMIFS(Категории!$AI$5:$AI$11,Категории!$A$5:$A$11,B84),0)</f>
        <v>0</v>
      </c>
      <c r="Z84" s="11">
        <f>Y84*SUMIFS(Категории!$AJ$5:$AJ$11,Категории!$A$5:$A$11,B84)</f>
        <v>0</v>
      </c>
      <c r="AA84" s="11">
        <f t="shared" si="29"/>
        <v>0</v>
      </c>
      <c r="AB84" s="11">
        <f t="shared" si="30"/>
        <v>0</v>
      </c>
      <c r="AC84" s="11">
        <f t="shared" si="31"/>
        <v>0</v>
      </c>
      <c r="AD84" s="12">
        <f t="shared" si="32"/>
        <v>34</v>
      </c>
      <c r="AE84" s="12">
        <f t="shared" si="33"/>
        <v>38</v>
      </c>
      <c r="AF84" s="12">
        <f t="shared" si="34"/>
        <v>17</v>
      </c>
      <c r="AG84" s="12">
        <f t="shared" si="35"/>
        <v>19</v>
      </c>
    </row>
    <row r="85" spans="1:33" x14ac:dyDescent="0.3">
      <c r="A85" s="8" t="s">
        <v>143</v>
      </c>
      <c r="B85" s="8" t="s">
        <v>107</v>
      </c>
      <c r="C85" s="8" t="s">
        <v>61</v>
      </c>
      <c r="D85" s="9">
        <v>1962440.3</v>
      </c>
      <c r="E85" s="9">
        <v>184803.08</v>
      </c>
      <c r="F85" s="8">
        <v>6.4</v>
      </c>
      <c r="G85" s="8">
        <v>6</v>
      </c>
      <c r="H85" s="8">
        <v>1</v>
      </c>
      <c r="I85" s="8">
        <v>12</v>
      </c>
      <c r="J85" s="10">
        <f t="shared" si="18"/>
        <v>1</v>
      </c>
      <c r="K85" s="11">
        <f t="shared" si="19"/>
        <v>1962440.3</v>
      </c>
      <c r="L85" s="11">
        <f t="shared" si="20"/>
        <v>184803.08</v>
      </c>
      <c r="M85" s="11">
        <f t="shared" si="21"/>
        <v>2147243.38</v>
      </c>
      <c r="N85" s="11">
        <f t="shared" si="22"/>
        <v>2147243.38</v>
      </c>
      <c r="O85" s="11">
        <f t="shared" si="23"/>
        <v>2090862.25</v>
      </c>
      <c r="P85" s="12">
        <f>IF(AND(C85="F",M85&lt;O85,SUMIFS(Категории!$Z$5:$Z$11,Категории!$A$5:$A$11,B85)=1),1,0)</f>
        <v>0</v>
      </c>
      <c r="Q85" s="11">
        <f t="shared" si="24"/>
        <v>0</v>
      </c>
      <c r="R85" s="10">
        <f>IF(AND(P85=1,SUMIFS(Категории!$AA$5:$AA$11,Категории!$A$5:$A$11,B85)&gt;0),Q85/SUMIFS(Категории!$AA$5:$AA$11,Категории!$A$5:$A$11,B85),0)</f>
        <v>0</v>
      </c>
      <c r="S85" s="11">
        <f>R85*SUMIFS(Категории!$AB$5:$AB$11,Категории!$A$5:$A$11,B85)</f>
        <v>0</v>
      </c>
      <c r="T85" s="11">
        <f t="shared" si="25"/>
        <v>0</v>
      </c>
      <c r="U85" s="11">
        <f t="shared" si="26"/>
        <v>0</v>
      </c>
      <c r="V85" s="11">
        <f t="shared" si="27"/>
        <v>0</v>
      </c>
      <c r="W85" s="12">
        <f>IF(AND(C85="F",M85&lt;O85,SUMIFS(Категории!$AH$5:$AH$11,Категории!$A$5:$A$11,B85)=1),1,0)</f>
        <v>0</v>
      </c>
      <c r="X85" s="11">
        <f t="shared" si="28"/>
        <v>0</v>
      </c>
      <c r="Y85" s="10">
        <f>IF(AND(W85=1,SUMIFS(Категории!$AI$5:$AI$11,Категории!$A$5:$A$11,B85)&gt;0),X85/SUMIFS(Категории!$AI$5:$AI$11,Категории!$A$5:$A$11,B85),0)</f>
        <v>0</v>
      </c>
      <c r="Z85" s="11">
        <f>Y85*SUMIFS(Категории!$AJ$5:$AJ$11,Категории!$A$5:$A$11,B85)</f>
        <v>0</v>
      </c>
      <c r="AA85" s="11">
        <f t="shared" si="29"/>
        <v>0</v>
      </c>
      <c r="AB85" s="11">
        <f t="shared" si="30"/>
        <v>0</v>
      </c>
      <c r="AC85" s="11">
        <f t="shared" si="31"/>
        <v>0</v>
      </c>
      <c r="AD85" s="12">
        <f t="shared" si="32"/>
        <v>21</v>
      </c>
      <c r="AE85" s="12">
        <f t="shared" si="33"/>
        <v>38</v>
      </c>
      <c r="AF85" s="12">
        <f t="shared" si="34"/>
        <v>8</v>
      </c>
      <c r="AG85" s="12">
        <f t="shared" si="35"/>
        <v>19</v>
      </c>
    </row>
    <row r="86" spans="1:33" x14ac:dyDescent="0.3">
      <c r="A86" s="8" t="s">
        <v>144</v>
      </c>
      <c r="B86" s="8" t="s">
        <v>107</v>
      </c>
      <c r="C86" s="8" t="s">
        <v>66</v>
      </c>
      <c r="D86" s="9">
        <v>3123115.07</v>
      </c>
      <c r="E86" s="9">
        <v>208225.45</v>
      </c>
      <c r="F86" s="8">
        <v>8.3000000000000007</v>
      </c>
      <c r="G86" s="8">
        <v>10</v>
      </c>
      <c r="H86" s="8">
        <v>1</v>
      </c>
      <c r="I86" s="8">
        <v>12</v>
      </c>
      <c r="J86" s="10">
        <f t="shared" si="18"/>
        <v>1</v>
      </c>
      <c r="K86" s="11">
        <f t="shared" si="19"/>
        <v>3123115.07</v>
      </c>
      <c r="L86" s="11">
        <f t="shared" si="20"/>
        <v>208225.45</v>
      </c>
      <c r="M86" s="11">
        <f t="shared" si="21"/>
        <v>3331340.52</v>
      </c>
      <c r="N86" s="11">
        <f t="shared" si="22"/>
        <v>3331340.52</v>
      </c>
      <c r="O86" s="11">
        <f t="shared" si="23"/>
        <v>2090862.25</v>
      </c>
      <c r="P86" s="12">
        <f>IF(AND(C86="F",M86&lt;O86,SUMIFS(Категории!$Z$5:$Z$11,Категории!$A$5:$A$11,B86)=1),1,0)</f>
        <v>0</v>
      </c>
      <c r="Q86" s="11">
        <f t="shared" si="24"/>
        <v>0</v>
      </c>
      <c r="R86" s="10">
        <f>IF(AND(P86=1,SUMIFS(Категории!$AA$5:$AA$11,Категории!$A$5:$A$11,B86)&gt;0),Q86/SUMIFS(Категории!$AA$5:$AA$11,Категории!$A$5:$A$11,B86),0)</f>
        <v>0</v>
      </c>
      <c r="S86" s="11">
        <f>R86*SUMIFS(Категории!$AB$5:$AB$11,Категории!$A$5:$A$11,B86)</f>
        <v>0</v>
      </c>
      <c r="T86" s="11">
        <f t="shared" si="25"/>
        <v>0</v>
      </c>
      <c r="U86" s="11">
        <f t="shared" si="26"/>
        <v>0</v>
      </c>
      <c r="V86" s="11">
        <f t="shared" si="27"/>
        <v>0</v>
      </c>
      <c r="W86" s="12">
        <f>IF(AND(C86="F",M86&lt;O86,SUMIFS(Категории!$AH$5:$AH$11,Категории!$A$5:$A$11,B86)=1),1,0)</f>
        <v>0</v>
      </c>
      <c r="X86" s="11">
        <f t="shared" si="28"/>
        <v>0</v>
      </c>
      <c r="Y86" s="10">
        <f>IF(AND(W86=1,SUMIFS(Категории!$AI$5:$AI$11,Категории!$A$5:$A$11,B86)&gt;0),X86/SUMIFS(Категории!$AI$5:$AI$11,Категории!$A$5:$A$11,B86),0)</f>
        <v>0</v>
      </c>
      <c r="Z86" s="11">
        <f>Y86*SUMIFS(Категории!$AJ$5:$AJ$11,Категории!$A$5:$A$11,B86)</f>
        <v>0</v>
      </c>
      <c r="AA86" s="11">
        <f t="shared" si="29"/>
        <v>0</v>
      </c>
      <c r="AB86" s="11">
        <f t="shared" si="30"/>
        <v>0</v>
      </c>
      <c r="AC86" s="11">
        <f t="shared" si="31"/>
        <v>0</v>
      </c>
      <c r="AD86" s="12">
        <f t="shared" si="32"/>
        <v>38</v>
      </c>
      <c r="AE86" s="12">
        <f t="shared" si="33"/>
        <v>38</v>
      </c>
      <c r="AF86" s="12">
        <f t="shared" si="34"/>
        <v>19</v>
      </c>
      <c r="AG86" s="12">
        <f t="shared" si="35"/>
        <v>19</v>
      </c>
    </row>
    <row r="87" spans="1:33" x14ac:dyDescent="0.3">
      <c r="A87" s="8" t="s">
        <v>145</v>
      </c>
      <c r="B87" s="8" t="s">
        <v>146</v>
      </c>
      <c r="C87" s="8" t="s">
        <v>66</v>
      </c>
      <c r="D87" s="9">
        <v>2602573.7999999998</v>
      </c>
      <c r="E87" s="9">
        <v>400579.49</v>
      </c>
      <c r="F87" s="8">
        <v>6.1</v>
      </c>
      <c r="G87" s="8">
        <v>9</v>
      </c>
      <c r="H87" s="8">
        <v>1</v>
      </c>
      <c r="I87" s="8">
        <v>12</v>
      </c>
      <c r="J87" s="10">
        <f t="shared" si="18"/>
        <v>1</v>
      </c>
      <c r="K87" s="11">
        <f t="shared" si="19"/>
        <v>2602573.7999999998</v>
      </c>
      <c r="L87" s="11">
        <f t="shared" si="20"/>
        <v>400579.49</v>
      </c>
      <c r="M87" s="11">
        <f t="shared" si="21"/>
        <v>3003153.29</v>
      </c>
      <c r="N87" s="11">
        <f t="shared" si="22"/>
        <v>3003153.29</v>
      </c>
      <c r="O87" s="11">
        <f t="shared" si="23"/>
        <v>3304474.79</v>
      </c>
      <c r="P87" s="12">
        <f>IF(AND(C87="F",M87&lt;O87,SUMIFS(Категории!$Z$5:$Z$11,Категории!$A$5:$A$11,B87)=1),1,0)</f>
        <v>1</v>
      </c>
      <c r="Q87" s="11">
        <f t="shared" si="24"/>
        <v>301321.5</v>
      </c>
      <c r="R87" s="10">
        <f>IF(AND(P87=1,SUMIFS(Категории!$AA$5:$AA$11,Категории!$A$5:$A$11,B87)&gt;0),Q87/SUMIFS(Категории!$AA$5:$AA$11,Категории!$A$5:$A$11,B87),0)</f>
        <v>0.62305491451554162</v>
      </c>
      <c r="S87" s="11">
        <f>R87*SUMIFS(Категории!$AB$5:$AB$11,Категории!$A$5:$A$11,B87)</f>
        <v>108334.3957617436</v>
      </c>
      <c r="T87" s="11">
        <f t="shared" si="25"/>
        <v>108334.3957617436</v>
      </c>
      <c r="U87" s="11">
        <f t="shared" si="26"/>
        <v>32500.318728523078</v>
      </c>
      <c r="V87" s="11">
        <f t="shared" si="27"/>
        <v>140834.71449026666</v>
      </c>
      <c r="W87" s="12">
        <f>IF(AND(C87="F",M87&lt;O87,SUMIFS(Категории!$AH$5:$AH$11,Категории!$A$5:$A$11,B87)=1),1,0)</f>
        <v>1</v>
      </c>
      <c r="X87" s="11">
        <f t="shared" si="28"/>
        <v>301321.5</v>
      </c>
      <c r="Y87" s="10">
        <f>IF(AND(W87=1,SUMIFS(Категории!$AI$5:$AI$11,Категории!$A$5:$A$11,B87)&gt;0),X87/SUMIFS(Категории!$AI$5:$AI$11,Категории!$A$5:$A$11,B87),0)</f>
        <v>0.62305491451554162</v>
      </c>
      <c r="Z87" s="11">
        <f>Y87*SUMIFS(Категории!$AJ$5:$AJ$11,Категории!$A$5:$A$11,B87)</f>
        <v>455755.54084877524</v>
      </c>
      <c r="AA87" s="11">
        <f t="shared" si="29"/>
        <v>455755.54084877524</v>
      </c>
      <c r="AB87" s="11">
        <f t="shared" si="30"/>
        <v>124906.59046816509</v>
      </c>
      <c r="AC87" s="11">
        <f t="shared" si="31"/>
        <v>580662.1313169403</v>
      </c>
      <c r="AD87" s="12">
        <f t="shared" si="32"/>
        <v>2</v>
      </c>
      <c r="AE87" s="12">
        <f t="shared" si="33"/>
        <v>8</v>
      </c>
      <c r="AF87" s="12">
        <f t="shared" si="34"/>
        <v>1</v>
      </c>
      <c r="AG87" s="12">
        <f t="shared" si="35"/>
        <v>3</v>
      </c>
    </row>
    <row r="88" spans="1:33" x14ac:dyDescent="0.3">
      <c r="A88" s="8" t="s">
        <v>147</v>
      </c>
      <c r="B88" s="8" t="s">
        <v>146</v>
      </c>
      <c r="C88" s="8" t="s">
        <v>66</v>
      </c>
      <c r="D88" s="9">
        <v>2690109.26</v>
      </c>
      <c r="E88" s="9">
        <v>477130.75</v>
      </c>
      <c r="F88" s="8">
        <v>7.1</v>
      </c>
      <c r="G88" s="8">
        <v>10</v>
      </c>
      <c r="H88" s="8">
        <v>1</v>
      </c>
      <c r="I88" s="8">
        <v>12</v>
      </c>
      <c r="J88" s="10">
        <f t="shared" si="18"/>
        <v>1</v>
      </c>
      <c r="K88" s="11">
        <f t="shared" si="19"/>
        <v>2690109.26</v>
      </c>
      <c r="L88" s="11">
        <f t="shared" si="20"/>
        <v>477130.75</v>
      </c>
      <c r="M88" s="11">
        <f t="shared" si="21"/>
        <v>3167240.01</v>
      </c>
      <c r="N88" s="11">
        <f t="shared" si="22"/>
        <v>3167240.01</v>
      </c>
      <c r="O88" s="11">
        <f t="shared" si="23"/>
        <v>3304474.79</v>
      </c>
      <c r="P88" s="12">
        <f>IF(AND(C88="F",M88&lt;O88,SUMIFS(Категории!$Z$5:$Z$11,Категории!$A$5:$A$11,B88)=1),1,0)</f>
        <v>1</v>
      </c>
      <c r="Q88" s="11">
        <f t="shared" si="24"/>
        <v>137234.78000000026</v>
      </c>
      <c r="R88" s="10">
        <f>IF(AND(P88=1,SUMIFS(Категории!$AA$5:$AA$11,Категории!$A$5:$A$11,B88)&gt;0),Q88/SUMIFS(Категории!$AA$5:$AA$11,Категории!$A$5:$A$11,B88),0)</f>
        <v>0.28376602440071264</v>
      </c>
      <c r="S88" s="11">
        <f>R88*SUMIFS(Категории!$AB$5:$AB$11,Категории!$A$5:$A$11,B88)</f>
        <v>49340.146550431498</v>
      </c>
      <c r="T88" s="11">
        <f t="shared" si="25"/>
        <v>49340.146550431498</v>
      </c>
      <c r="U88" s="11">
        <f t="shared" si="26"/>
        <v>14802.043965129449</v>
      </c>
      <c r="V88" s="11">
        <f t="shared" si="27"/>
        <v>64142.190515560949</v>
      </c>
      <c r="W88" s="12">
        <f>IF(AND(C88="F",M88&lt;O88,SUMIFS(Категории!$AH$5:$AH$11,Категории!$A$5:$A$11,B88)=1),1,0)</f>
        <v>1</v>
      </c>
      <c r="X88" s="11">
        <f t="shared" si="28"/>
        <v>137234.78000000026</v>
      </c>
      <c r="Y88" s="10">
        <f>IF(AND(W88=1,SUMIFS(Категории!$AI$5:$AI$11,Категории!$A$5:$A$11,B88)&gt;0),X88/SUMIFS(Категории!$AI$5:$AI$11,Категории!$A$5:$A$11,B88),0)</f>
        <v>0.28376602440071264</v>
      </c>
      <c r="Z88" s="11">
        <f>Y88*SUMIFS(Категории!$AJ$5:$AJ$11,Категории!$A$5:$A$11,B88)</f>
        <v>207570.6890552543</v>
      </c>
      <c r="AA88" s="11">
        <f t="shared" si="29"/>
        <v>207570.6890552543</v>
      </c>
      <c r="AB88" s="11">
        <f t="shared" si="30"/>
        <v>62271.206716576286</v>
      </c>
      <c r="AC88" s="11">
        <f t="shared" si="31"/>
        <v>269841.89577183058</v>
      </c>
      <c r="AD88" s="12">
        <f t="shared" si="32"/>
        <v>3</v>
      </c>
      <c r="AE88" s="12">
        <f t="shared" si="33"/>
        <v>8</v>
      </c>
      <c r="AF88" s="12">
        <f t="shared" si="34"/>
        <v>2</v>
      </c>
      <c r="AG88" s="12">
        <f t="shared" si="35"/>
        <v>3</v>
      </c>
    </row>
    <row r="89" spans="1:33" x14ac:dyDescent="0.3">
      <c r="A89" s="8" t="s">
        <v>148</v>
      </c>
      <c r="B89" s="8" t="s">
        <v>146</v>
      </c>
      <c r="C89" s="8" t="s">
        <v>61</v>
      </c>
      <c r="D89" s="9">
        <v>4055639.09</v>
      </c>
      <c r="E89" s="9">
        <v>546438.66</v>
      </c>
      <c r="F89" s="8">
        <v>8.1</v>
      </c>
      <c r="G89" s="8">
        <v>12</v>
      </c>
      <c r="H89" s="8">
        <v>1</v>
      </c>
      <c r="I89" s="8">
        <v>12</v>
      </c>
      <c r="J89" s="10">
        <f t="shared" si="18"/>
        <v>1</v>
      </c>
      <c r="K89" s="11">
        <f t="shared" si="19"/>
        <v>4055639.09</v>
      </c>
      <c r="L89" s="11">
        <f t="shared" si="20"/>
        <v>546438.66</v>
      </c>
      <c r="M89" s="11">
        <f t="shared" si="21"/>
        <v>4602077.75</v>
      </c>
      <c r="N89" s="11">
        <f t="shared" si="22"/>
        <v>4602077.75</v>
      </c>
      <c r="O89" s="11">
        <f t="shared" si="23"/>
        <v>3304474.79</v>
      </c>
      <c r="P89" s="12">
        <f>IF(AND(C89="F",M89&lt;O89,SUMIFS(Категории!$Z$5:$Z$11,Категории!$A$5:$A$11,B89)=1),1,0)</f>
        <v>0</v>
      </c>
      <c r="Q89" s="11">
        <f t="shared" si="24"/>
        <v>0</v>
      </c>
      <c r="R89" s="10">
        <f>IF(AND(P89=1,SUMIFS(Категории!$AA$5:$AA$11,Категории!$A$5:$A$11,B89)&gt;0),Q89/SUMIFS(Категории!$AA$5:$AA$11,Категории!$A$5:$A$11,B89),0)</f>
        <v>0</v>
      </c>
      <c r="S89" s="11">
        <f>R89*SUMIFS(Категории!$AB$5:$AB$11,Категории!$A$5:$A$11,B89)</f>
        <v>0</v>
      </c>
      <c r="T89" s="11">
        <f t="shared" si="25"/>
        <v>0</v>
      </c>
      <c r="U89" s="11">
        <f t="shared" si="26"/>
        <v>0</v>
      </c>
      <c r="V89" s="11">
        <f t="shared" si="27"/>
        <v>0</v>
      </c>
      <c r="W89" s="12">
        <f>IF(AND(C89="F",M89&lt;O89,SUMIFS(Категории!$AH$5:$AH$11,Категории!$A$5:$A$11,B89)=1),1,0)</f>
        <v>0</v>
      </c>
      <c r="X89" s="11">
        <f t="shared" si="28"/>
        <v>0</v>
      </c>
      <c r="Y89" s="10">
        <f>IF(AND(W89=1,SUMIFS(Категории!$AI$5:$AI$11,Категории!$A$5:$A$11,B89)&gt;0),X89/SUMIFS(Категории!$AI$5:$AI$11,Категории!$A$5:$A$11,B89),0)</f>
        <v>0</v>
      </c>
      <c r="Z89" s="11">
        <f>Y89*SUMIFS(Категории!$AJ$5:$AJ$11,Категории!$A$5:$A$11,B89)</f>
        <v>0</v>
      </c>
      <c r="AA89" s="11">
        <f t="shared" si="29"/>
        <v>0</v>
      </c>
      <c r="AB89" s="11">
        <f t="shared" si="30"/>
        <v>0</v>
      </c>
      <c r="AC89" s="11">
        <f t="shared" si="31"/>
        <v>0</v>
      </c>
      <c r="AD89" s="12">
        <f t="shared" si="32"/>
        <v>8</v>
      </c>
      <c r="AE89" s="12">
        <f t="shared" si="33"/>
        <v>8</v>
      </c>
      <c r="AF89" s="12">
        <f t="shared" si="34"/>
        <v>5</v>
      </c>
      <c r="AG89" s="12">
        <f t="shared" si="35"/>
        <v>5</v>
      </c>
    </row>
    <row r="90" spans="1:33" x14ac:dyDescent="0.3">
      <c r="A90" s="8" t="s">
        <v>149</v>
      </c>
      <c r="B90" s="8" t="s">
        <v>146</v>
      </c>
      <c r="C90" s="8" t="s">
        <v>61</v>
      </c>
      <c r="D90" s="9">
        <v>3369000.68</v>
      </c>
      <c r="E90" s="9">
        <v>555081.84</v>
      </c>
      <c r="F90" s="8">
        <v>5.9</v>
      </c>
      <c r="G90" s="8">
        <v>11</v>
      </c>
      <c r="H90" s="8">
        <v>1</v>
      </c>
      <c r="I90" s="8">
        <v>12</v>
      </c>
      <c r="J90" s="10">
        <f t="shared" si="18"/>
        <v>1</v>
      </c>
      <c r="K90" s="11">
        <f t="shared" si="19"/>
        <v>3369000.68</v>
      </c>
      <c r="L90" s="11">
        <f t="shared" si="20"/>
        <v>555081.84</v>
      </c>
      <c r="M90" s="11">
        <f t="shared" si="21"/>
        <v>3924082.52</v>
      </c>
      <c r="N90" s="11">
        <f t="shared" si="22"/>
        <v>3924082.52</v>
      </c>
      <c r="O90" s="11">
        <f t="shared" si="23"/>
        <v>3304474.79</v>
      </c>
      <c r="P90" s="12">
        <f>IF(AND(C90="F",M90&lt;O90,SUMIFS(Категории!$Z$5:$Z$11,Категории!$A$5:$A$11,B90)=1),1,0)</f>
        <v>0</v>
      </c>
      <c r="Q90" s="11">
        <f t="shared" si="24"/>
        <v>0</v>
      </c>
      <c r="R90" s="10">
        <f>IF(AND(P90=1,SUMIFS(Категории!$AA$5:$AA$11,Категории!$A$5:$A$11,B90)&gt;0),Q90/SUMIFS(Категории!$AA$5:$AA$11,Категории!$A$5:$A$11,B90),0)</f>
        <v>0</v>
      </c>
      <c r="S90" s="11">
        <f>R90*SUMIFS(Категории!$AB$5:$AB$11,Категории!$A$5:$A$11,B90)</f>
        <v>0</v>
      </c>
      <c r="T90" s="11">
        <f t="shared" si="25"/>
        <v>0</v>
      </c>
      <c r="U90" s="11">
        <f t="shared" si="26"/>
        <v>0</v>
      </c>
      <c r="V90" s="11">
        <f t="shared" si="27"/>
        <v>0</v>
      </c>
      <c r="W90" s="12">
        <f>IF(AND(C90="F",M90&lt;O90,SUMIFS(Категории!$AH$5:$AH$11,Категории!$A$5:$A$11,B90)=1),1,0)</f>
        <v>0</v>
      </c>
      <c r="X90" s="11">
        <f t="shared" si="28"/>
        <v>0</v>
      </c>
      <c r="Y90" s="10">
        <f>IF(AND(W90=1,SUMIFS(Категории!$AI$5:$AI$11,Категории!$A$5:$A$11,B90)&gt;0),X90/SUMIFS(Категории!$AI$5:$AI$11,Категории!$A$5:$A$11,B90),0)</f>
        <v>0</v>
      </c>
      <c r="Z90" s="11">
        <f>Y90*SUMIFS(Категории!$AJ$5:$AJ$11,Категории!$A$5:$A$11,B90)</f>
        <v>0</v>
      </c>
      <c r="AA90" s="11">
        <f t="shared" si="29"/>
        <v>0</v>
      </c>
      <c r="AB90" s="11">
        <f t="shared" si="30"/>
        <v>0</v>
      </c>
      <c r="AC90" s="11">
        <f t="shared" si="31"/>
        <v>0</v>
      </c>
      <c r="AD90" s="12">
        <f t="shared" si="32"/>
        <v>7</v>
      </c>
      <c r="AE90" s="12">
        <f t="shared" si="33"/>
        <v>8</v>
      </c>
      <c r="AF90" s="12">
        <f t="shared" si="34"/>
        <v>4</v>
      </c>
      <c r="AG90" s="12">
        <f t="shared" si="35"/>
        <v>5</v>
      </c>
    </row>
    <row r="91" spans="1:33" x14ac:dyDescent="0.3">
      <c r="A91" s="8" t="s">
        <v>150</v>
      </c>
      <c r="B91" s="8" t="s">
        <v>146</v>
      </c>
      <c r="C91" s="8" t="s">
        <v>66</v>
      </c>
      <c r="D91" s="9">
        <v>2795024.9</v>
      </c>
      <c r="E91" s="9">
        <v>464386.68</v>
      </c>
      <c r="F91" s="8">
        <v>5.0999999999999996</v>
      </c>
      <c r="G91" s="8">
        <v>10</v>
      </c>
      <c r="H91" s="8">
        <v>1</v>
      </c>
      <c r="I91" s="8">
        <v>12</v>
      </c>
      <c r="J91" s="10">
        <f t="shared" si="18"/>
        <v>1</v>
      </c>
      <c r="K91" s="11">
        <f t="shared" si="19"/>
        <v>2795024.9</v>
      </c>
      <c r="L91" s="11">
        <f t="shared" si="20"/>
        <v>464386.68</v>
      </c>
      <c r="M91" s="11">
        <f t="shared" si="21"/>
        <v>3259411.58</v>
      </c>
      <c r="N91" s="11">
        <f t="shared" si="22"/>
        <v>3259411.58</v>
      </c>
      <c r="O91" s="11">
        <f t="shared" si="23"/>
        <v>3304474.79</v>
      </c>
      <c r="P91" s="12">
        <f>IF(AND(C91="F",M91&lt;O91,SUMIFS(Категории!$Z$5:$Z$11,Категории!$A$5:$A$11,B91)=1),1,0)</f>
        <v>1</v>
      </c>
      <c r="Q91" s="11">
        <f t="shared" si="24"/>
        <v>45063.209999999963</v>
      </c>
      <c r="R91" s="10">
        <f>IF(AND(P91=1,SUMIFS(Категории!$AA$5:$AA$11,Категории!$A$5:$A$11,B91)&gt;0),Q91/SUMIFS(Категории!$AA$5:$AA$11,Категории!$A$5:$A$11,B91),0)</f>
        <v>9.3179061083745698E-2</v>
      </c>
      <c r="S91" s="11">
        <f>R91*SUMIFS(Категории!$AB$5:$AB$11,Категории!$A$5:$A$11,B91)</f>
        <v>16201.617297254123</v>
      </c>
      <c r="T91" s="11">
        <f t="shared" si="25"/>
        <v>16201.617297254123</v>
      </c>
      <c r="U91" s="11">
        <f t="shared" si="26"/>
        <v>4860.4851891762364</v>
      </c>
      <c r="V91" s="11">
        <f t="shared" si="27"/>
        <v>21062.102486430358</v>
      </c>
      <c r="W91" s="12">
        <f>IF(AND(C91="F",M91&lt;O91,SUMIFS(Категории!$AH$5:$AH$11,Категории!$A$5:$A$11,B91)=1),1,0)</f>
        <v>1</v>
      </c>
      <c r="X91" s="11">
        <f t="shared" si="28"/>
        <v>45063.209999999963</v>
      </c>
      <c r="Y91" s="10">
        <f>IF(AND(W91=1,SUMIFS(Категории!$AI$5:$AI$11,Категории!$A$5:$A$11,B91)&gt;0),X91/SUMIFS(Категории!$AI$5:$AI$11,Категории!$A$5:$A$11,B91),0)</f>
        <v>9.3179061083745698E-2</v>
      </c>
      <c r="Z91" s="11">
        <f>Y91*SUMIFS(Категории!$AJ$5:$AJ$11,Категории!$A$5:$A$11,B91)</f>
        <v>68159.117905399791</v>
      </c>
      <c r="AA91" s="11">
        <f t="shared" si="29"/>
        <v>68159.117905399791</v>
      </c>
      <c r="AB91" s="11">
        <f t="shared" si="30"/>
        <v>20447.735371619936</v>
      </c>
      <c r="AC91" s="11">
        <f t="shared" si="31"/>
        <v>88606.85327701972</v>
      </c>
      <c r="AD91" s="12">
        <f t="shared" si="32"/>
        <v>4</v>
      </c>
      <c r="AE91" s="12">
        <f t="shared" si="33"/>
        <v>8</v>
      </c>
      <c r="AF91" s="12">
        <f t="shared" si="34"/>
        <v>3</v>
      </c>
      <c r="AG91" s="12">
        <f t="shared" si="35"/>
        <v>3</v>
      </c>
    </row>
    <row r="92" spans="1:33" x14ac:dyDescent="0.3">
      <c r="A92" s="8" t="s">
        <v>151</v>
      </c>
      <c r="B92" s="8" t="s">
        <v>146</v>
      </c>
      <c r="C92" s="8" t="s">
        <v>61</v>
      </c>
      <c r="D92" s="9">
        <v>3327488.08</v>
      </c>
      <c r="E92" s="9">
        <v>479456.88</v>
      </c>
      <c r="F92" s="8">
        <v>8.8000000000000007</v>
      </c>
      <c r="G92" s="8">
        <v>10</v>
      </c>
      <c r="H92" s="8">
        <v>1</v>
      </c>
      <c r="I92" s="8">
        <v>12</v>
      </c>
      <c r="J92" s="10">
        <f t="shared" si="18"/>
        <v>1</v>
      </c>
      <c r="K92" s="11">
        <f t="shared" si="19"/>
        <v>3327488.08</v>
      </c>
      <c r="L92" s="11">
        <f t="shared" si="20"/>
        <v>479456.88</v>
      </c>
      <c r="M92" s="11">
        <f t="shared" si="21"/>
        <v>3806944.96</v>
      </c>
      <c r="N92" s="11">
        <f t="shared" si="22"/>
        <v>3806944.96</v>
      </c>
      <c r="O92" s="11">
        <f t="shared" si="23"/>
        <v>3304474.79</v>
      </c>
      <c r="P92" s="12">
        <f>IF(AND(C92="F",M92&lt;O92,SUMIFS(Категории!$Z$5:$Z$11,Категории!$A$5:$A$11,B92)=1),1,0)</f>
        <v>0</v>
      </c>
      <c r="Q92" s="11">
        <f t="shared" si="24"/>
        <v>0</v>
      </c>
      <c r="R92" s="10">
        <f>IF(AND(P92=1,SUMIFS(Категории!$AA$5:$AA$11,Категории!$A$5:$A$11,B92)&gt;0),Q92/SUMIFS(Категории!$AA$5:$AA$11,Категории!$A$5:$A$11,B92),0)</f>
        <v>0</v>
      </c>
      <c r="S92" s="11">
        <f>R92*SUMIFS(Категории!$AB$5:$AB$11,Категории!$A$5:$A$11,B92)</f>
        <v>0</v>
      </c>
      <c r="T92" s="11">
        <f t="shared" si="25"/>
        <v>0</v>
      </c>
      <c r="U92" s="11">
        <f t="shared" si="26"/>
        <v>0</v>
      </c>
      <c r="V92" s="11">
        <f t="shared" si="27"/>
        <v>0</v>
      </c>
      <c r="W92" s="12">
        <f>IF(AND(C92="F",M92&lt;O92,SUMIFS(Категории!$AH$5:$AH$11,Категории!$A$5:$A$11,B92)=1),1,0)</f>
        <v>0</v>
      </c>
      <c r="X92" s="11">
        <f t="shared" si="28"/>
        <v>0</v>
      </c>
      <c r="Y92" s="10">
        <f>IF(AND(W92=1,SUMIFS(Категории!$AI$5:$AI$11,Категории!$A$5:$A$11,B92)&gt;0),X92/SUMIFS(Категории!$AI$5:$AI$11,Категории!$A$5:$A$11,B92),0)</f>
        <v>0</v>
      </c>
      <c r="Z92" s="11">
        <f>Y92*SUMIFS(Категории!$AJ$5:$AJ$11,Категории!$A$5:$A$11,B92)</f>
        <v>0</v>
      </c>
      <c r="AA92" s="11">
        <f t="shared" si="29"/>
        <v>0</v>
      </c>
      <c r="AB92" s="11">
        <f t="shared" si="30"/>
        <v>0</v>
      </c>
      <c r="AC92" s="11">
        <f t="shared" si="31"/>
        <v>0</v>
      </c>
      <c r="AD92" s="12">
        <f t="shared" si="32"/>
        <v>6</v>
      </c>
      <c r="AE92" s="12">
        <f t="shared" si="33"/>
        <v>8</v>
      </c>
      <c r="AF92" s="12">
        <f t="shared" si="34"/>
        <v>3</v>
      </c>
      <c r="AG92" s="12">
        <f t="shared" si="35"/>
        <v>5</v>
      </c>
    </row>
    <row r="93" spans="1:33" x14ac:dyDescent="0.3">
      <c r="A93" s="8" t="s">
        <v>152</v>
      </c>
      <c r="B93" s="8" t="s">
        <v>146</v>
      </c>
      <c r="C93" s="8" t="s">
        <v>61</v>
      </c>
      <c r="D93" s="9">
        <v>2543608.5299999998</v>
      </c>
      <c r="E93" s="9">
        <v>360721.18</v>
      </c>
      <c r="F93" s="8">
        <v>1.3</v>
      </c>
      <c r="G93" s="8">
        <v>9</v>
      </c>
      <c r="H93" s="8">
        <v>1</v>
      </c>
      <c r="I93" s="8">
        <v>12</v>
      </c>
      <c r="J93" s="10">
        <f t="shared" si="18"/>
        <v>1</v>
      </c>
      <c r="K93" s="11">
        <f t="shared" si="19"/>
        <v>2543608.5299999998</v>
      </c>
      <c r="L93" s="11">
        <f t="shared" si="20"/>
        <v>360721.18</v>
      </c>
      <c r="M93" s="11">
        <f t="shared" si="21"/>
        <v>2904329.71</v>
      </c>
      <c r="N93" s="11">
        <f t="shared" si="22"/>
        <v>2904329.71</v>
      </c>
      <c r="O93" s="11">
        <f t="shared" si="23"/>
        <v>3304474.79</v>
      </c>
      <c r="P93" s="12">
        <f>IF(AND(C93="F",M93&lt;O93,SUMIFS(Категории!$Z$5:$Z$11,Категории!$A$5:$A$11,B93)=1),1,0)</f>
        <v>0</v>
      </c>
      <c r="Q93" s="11">
        <f t="shared" si="24"/>
        <v>0</v>
      </c>
      <c r="R93" s="10">
        <f>IF(AND(P93=1,SUMIFS(Категории!$AA$5:$AA$11,Категории!$A$5:$A$11,B93)&gt;0),Q93/SUMIFS(Категории!$AA$5:$AA$11,Категории!$A$5:$A$11,B93),0)</f>
        <v>0</v>
      </c>
      <c r="S93" s="11">
        <f>R93*SUMIFS(Категории!$AB$5:$AB$11,Категории!$A$5:$A$11,B93)</f>
        <v>0</v>
      </c>
      <c r="T93" s="11">
        <f t="shared" si="25"/>
        <v>0</v>
      </c>
      <c r="U93" s="11">
        <f t="shared" si="26"/>
        <v>0</v>
      </c>
      <c r="V93" s="11">
        <f t="shared" si="27"/>
        <v>0</v>
      </c>
      <c r="W93" s="12">
        <f>IF(AND(C93="F",M93&lt;O93,SUMIFS(Категории!$AH$5:$AH$11,Категории!$A$5:$A$11,B93)=1),1,0)</f>
        <v>0</v>
      </c>
      <c r="X93" s="11">
        <f t="shared" si="28"/>
        <v>0</v>
      </c>
      <c r="Y93" s="10">
        <f>IF(AND(W93=1,SUMIFS(Категории!$AI$5:$AI$11,Категории!$A$5:$A$11,B93)&gt;0),X93/SUMIFS(Категории!$AI$5:$AI$11,Категории!$A$5:$A$11,B93),0)</f>
        <v>0</v>
      </c>
      <c r="Z93" s="11">
        <f>Y93*SUMIFS(Категории!$AJ$5:$AJ$11,Категории!$A$5:$A$11,B93)</f>
        <v>0</v>
      </c>
      <c r="AA93" s="11">
        <f t="shared" si="29"/>
        <v>0</v>
      </c>
      <c r="AB93" s="11">
        <f t="shared" si="30"/>
        <v>0</v>
      </c>
      <c r="AC93" s="11">
        <f t="shared" si="31"/>
        <v>0</v>
      </c>
      <c r="AD93" s="12">
        <f t="shared" si="32"/>
        <v>1</v>
      </c>
      <c r="AE93" s="12">
        <f t="shared" si="33"/>
        <v>8</v>
      </c>
      <c r="AF93" s="12">
        <f t="shared" si="34"/>
        <v>1</v>
      </c>
      <c r="AG93" s="12">
        <f t="shared" si="35"/>
        <v>5</v>
      </c>
    </row>
    <row r="94" spans="1:33" x14ac:dyDescent="0.3">
      <c r="A94" s="8" t="s">
        <v>153</v>
      </c>
      <c r="B94" s="8" t="s">
        <v>146</v>
      </c>
      <c r="C94" s="8" t="s">
        <v>61</v>
      </c>
      <c r="D94" s="9">
        <v>2936925.13</v>
      </c>
      <c r="E94" s="9">
        <v>412612.87</v>
      </c>
      <c r="F94" s="8">
        <v>2.7</v>
      </c>
      <c r="G94" s="8">
        <v>10</v>
      </c>
      <c r="H94" s="8">
        <v>1</v>
      </c>
      <c r="I94" s="8">
        <v>12</v>
      </c>
      <c r="J94" s="10">
        <f t="shared" si="18"/>
        <v>1</v>
      </c>
      <c r="K94" s="11">
        <f t="shared" si="19"/>
        <v>2936925.13</v>
      </c>
      <c r="L94" s="11">
        <f t="shared" si="20"/>
        <v>412612.87</v>
      </c>
      <c r="M94" s="11">
        <f t="shared" si="21"/>
        <v>3349538</v>
      </c>
      <c r="N94" s="11">
        <f t="shared" si="22"/>
        <v>3349538</v>
      </c>
      <c r="O94" s="11">
        <f t="shared" si="23"/>
        <v>3304474.79</v>
      </c>
      <c r="P94" s="12">
        <f>IF(AND(C94="F",M94&lt;O94,SUMIFS(Категории!$Z$5:$Z$11,Категории!$A$5:$A$11,B94)=1),1,0)</f>
        <v>0</v>
      </c>
      <c r="Q94" s="11">
        <f t="shared" si="24"/>
        <v>0</v>
      </c>
      <c r="R94" s="10">
        <f>IF(AND(P94=1,SUMIFS(Категории!$AA$5:$AA$11,Категории!$A$5:$A$11,B94)&gt;0),Q94/SUMIFS(Категории!$AA$5:$AA$11,Категории!$A$5:$A$11,B94),0)</f>
        <v>0</v>
      </c>
      <c r="S94" s="11">
        <f>R94*SUMIFS(Категории!$AB$5:$AB$11,Категории!$A$5:$A$11,B94)</f>
        <v>0</v>
      </c>
      <c r="T94" s="11">
        <f t="shared" si="25"/>
        <v>0</v>
      </c>
      <c r="U94" s="11">
        <f t="shared" si="26"/>
        <v>0</v>
      </c>
      <c r="V94" s="11">
        <f t="shared" si="27"/>
        <v>0</v>
      </c>
      <c r="W94" s="12">
        <f>IF(AND(C94="F",M94&lt;O94,SUMIFS(Категории!$AH$5:$AH$11,Категории!$A$5:$A$11,B94)=1),1,0)</f>
        <v>0</v>
      </c>
      <c r="X94" s="11">
        <f t="shared" si="28"/>
        <v>0</v>
      </c>
      <c r="Y94" s="10">
        <f>IF(AND(W94=1,SUMIFS(Категории!$AI$5:$AI$11,Категории!$A$5:$A$11,B94)&gt;0),X94/SUMIFS(Категории!$AI$5:$AI$11,Категории!$A$5:$A$11,B94),0)</f>
        <v>0</v>
      </c>
      <c r="Z94" s="11">
        <f>Y94*SUMIFS(Категории!$AJ$5:$AJ$11,Категории!$A$5:$A$11,B94)</f>
        <v>0</v>
      </c>
      <c r="AA94" s="11">
        <f t="shared" si="29"/>
        <v>0</v>
      </c>
      <c r="AB94" s="11">
        <f t="shared" si="30"/>
        <v>0</v>
      </c>
      <c r="AC94" s="11">
        <f t="shared" si="31"/>
        <v>0</v>
      </c>
      <c r="AD94" s="12">
        <f t="shared" si="32"/>
        <v>5</v>
      </c>
      <c r="AE94" s="12">
        <f t="shared" si="33"/>
        <v>8</v>
      </c>
      <c r="AF94" s="12">
        <f t="shared" si="34"/>
        <v>2</v>
      </c>
      <c r="AG94" s="12">
        <f t="shared" si="35"/>
        <v>5</v>
      </c>
    </row>
    <row r="95" spans="1:33" x14ac:dyDescent="0.3">
      <c r="A95" s="8" t="s">
        <v>154</v>
      </c>
      <c r="B95" s="8" t="s">
        <v>155</v>
      </c>
      <c r="C95" s="8" t="s">
        <v>61</v>
      </c>
      <c r="D95" s="9">
        <v>2803398.1</v>
      </c>
      <c r="E95" s="9">
        <v>342204.18</v>
      </c>
      <c r="F95" s="8">
        <v>8.3000000000000007</v>
      </c>
      <c r="G95" s="8">
        <v>10</v>
      </c>
      <c r="H95" s="8">
        <v>1</v>
      </c>
      <c r="I95" s="8">
        <v>12</v>
      </c>
      <c r="J95" s="10">
        <f t="shared" si="18"/>
        <v>1</v>
      </c>
      <c r="K95" s="11">
        <f t="shared" si="19"/>
        <v>2803398.1</v>
      </c>
      <c r="L95" s="11">
        <f t="shared" si="20"/>
        <v>342204.18</v>
      </c>
      <c r="M95" s="11">
        <f t="shared" si="21"/>
        <v>3145602.2800000003</v>
      </c>
      <c r="N95" s="11">
        <f t="shared" si="22"/>
        <v>3145602.2800000003</v>
      </c>
      <c r="O95" s="11">
        <f t="shared" si="23"/>
        <v>3024133.6550000003</v>
      </c>
      <c r="P95" s="12">
        <f>IF(AND(C95="F",M95&lt;O95,SUMIFS(Категории!$Z$5:$Z$11,Категории!$A$5:$A$11,B95)=1),1,0)</f>
        <v>0</v>
      </c>
      <c r="Q95" s="11">
        <f t="shared" si="24"/>
        <v>0</v>
      </c>
      <c r="R95" s="10">
        <f>IF(AND(P95=1,SUMIFS(Категории!$AA$5:$AA$11,Категории!$A$5:$A$11,B95)&gt;0),Q95/SUMIFS(Категории!$AA$5:$AA$11,Категории!$A$5:$A$11,B95),0)</f>
        <v>0</v>
      </c>
      <c r="S95" s="11">
        <f>R95*SUMIFS(Категории!$AB$5:$AB$11,Категории!$A$5:$A$11,B95)</f>
        <v>0</v>
      </c>
      <c r="T95" s="11">
        <f t="shared" si="25"/>
        <v>0</v>
      </c>
      <c r="U95" s="11">
        <f t="shared" si="26"/>
        <v>0</v>
      </c>
      <c r="V95" s="11">
        <f t="shared" si="27"/>
        <v>0</v>
      </c>
      <c r="W95" s="12">
        <f>IF(AND(C95="F",M95&lt;O95,SUMIFS(Категории!$AH$5:$AH$11,Категории!$A$5:$A$11,B95)=1),1,0)</f>
        <v>0</v>
      </c>
      <c r="X95" s="11">
        <f t="shared" si="28"/>
        <v>0</v>
      </c>
      <c r="Y95" s="10">
        <f>IF(AND(W95=1,SUMIFS(Категории!$AI$5:$AI$11,Категории!$A$5:$A$11,B95)&gt;0),X95/SUMIFS(Категории!$AI$5:$AI$11,Категории!$A$5:$A$11,B95),0)</f>
        <v>0</v>
      </c>
      <c r="Z95" s="11">
        <f>Y95*SUMIFS(Категории!$AJ$5:$AJ$11,Категории!$A$5:$A$11,B95)</f>
        <v>0</v>
      </c>
      <c r="AA95" s="11">
        <f t="shared" si="29"/>
        <v>0</v>
      </c>
      <c r="AB95" s="11">
        <f t="shared" si="30"/>
        <v>0</v>
      </c>
      <c r="AC95" s="11">
        <f t="shared" si="31"/>
        <v>0</v>
      </c>
      <c r="AD95" s="12">
        <f t="shared" si="32"/>
        <v>18</v>
      </c>
      <c r="AE95" s="12">
        <f t="shared" si="33"/>
        <v>26</v>
      </c>
      <c r="AF95" s="12">
        <f t="shared" si="34"/>
        <v>12</v>
      </c>
      <c r="AG95" s="12">
        <f t="shared" si="35"/>
        <v>14</v>
      </c>
    </row>
    <row r="96" spans="1:33" x14ac:dyDescent="0.3">
      <c r="A96" s="8" t="s">
        <v>156</v>
      </c>
      <c r="B96" s="8" t="s">
        <v>155</v>
      </c>
      <c r="C96" s="8" t="s">
        <v>66</v>
      </c>
      <c r="D96" s="9">
        <v>2790104.98</v>
      </c>
      <c r="E96" s="9">
        <v>231842.87</v>
      </c>
      <c r="F96" s="8">
        <v>10.7</v>
      </c>
      <c r="G96" s="8">
        <v>9</v>
      </c>
      <c r="H96" s="8">
        <v>1</v>
      </c>
      <c r="I96" s="8">
        <v>12</v>
      </c>
      <c r="J96" s="10">
        <f t="shared" si="18"/>
        <v>1</v>
      </c>
      <c r="K96" s="11">
        <f t="shared" si="19"/>
        <v>2790104.98</v>
      </c>
      <c r="L96" s="11">
        <f t="shared" si="20"/>
        <v>231842.87</v>
      </c>
      <c r="M96" s="11">
        <f t="shared" si="21"/>
        <v>3021947.85</v>
      </c>
      <c r="N96" s="11">
        <f t="shared" si="22"/>
        <v>3021947.85</v>
      </c>
      <c r="O96" s="11">
        <f t="shared" si="23"/>
        <v>3024133.6550000003</v>
      </c>
      <c r="P96" s="12">
        <f>IF(AND(C96="F",M96&lt;O96,SUMIFS(Категории!$Z$5:$Z$11,Категории!$A$5:$A$11,B96)=1),1,0)</f>
        <v>0</v>
      </c>
      <c r="Q96" s="11">
        <f t="shared" si="24"/>
        <v>0</v>
      </c>
      <c r="R96" s="10">
        <f>IF(AND(P96=1,SUMIFS(Категории!$AA$5:$AA$11,Категории!$A$5:$A$11,B96)&gt;0),Q96/SUMIFS(Категории!$AA$5:$AA$11,Категории!$A$5:$A$11,B96),0)</f>
        <v>0</v>
      </c>
      <c r="S96" s="11">
        <f>R96*SUMIFS(Категории!$AB$5:$AB$11,Категории!$A$5:$A$11,B96)</f>
        <v>0</v>
      </c>
      <c r="T96" s="11">
        <f t="shared" si="25"/>
        <v>0</v>
      </c>
      <c r="U96" s="11">
        <f t="shared" si="26"/>
        <v>0</v>
      </c>
      <c r="V96" s="11">
        <f t="shared" si="27"/>
        <v>0</v>
      </c>
      <c r="W96" s="12">
        <f>IF(AND(C96="F",M96&lt;O96,SUMIFS(Категории!$AH$5:$AH$11,Категории!$A$5:$A$11,B96)=1),1,0)</f>
        <v>0</v>
      </c>
      <c r="X96" s="11">
        <f t="shared" si="28"/>
        <v>0</v>
      </c>
      <c r="Y96" s="10">
        <f>IF(AND(W96=1,SUMIFS(Категории!$AI$5:$AI$11,Категории!$A$5:$A$11,B96)&gt;0),X96/SUMIFS(Категории!$AI$5:$AI$11,Категории!$A$5:$A$11,B96),0)</f>
        <v>0</v>
      </c>
      <c r="Z96" s="11">
        <f>Y96*SUMIFS(Категории!$AJ$5:$AJ$11,Категории!$A$5:$A$11,B96)</f>
        <v>0</v>
      </c>
      <c r="AA96" s="11">
        <f t="shared" si="29"/>
        <v>0</v>
      </c>
      <c r="AB96" s="11">
        <f t="shared" si="30"/>
        <v>0</v>
      </c>
      <c r="AC96" s="11">
        <f t="shared" si="31"/>
        <v>0</v>
      </c>
      <c r="AD96" s="12">
        <f t="shared" si="32"/>
        <v>13</v>
      </c>
      <c r="AE96" s="12">
        <f t="shared" si="33"/>
        <v>26</v>
      </c>
      <c r="AF96" s="12">
        <f t="shared" si="34"/>
        <v>5</v>
      </c>
      <c r="AG96" s="12">
        <f t="shared" si="35"/>
        <v>12</v>
      </c>
    </row>
    <row r="97" spans="1:33" x14ac:dyDescent="0.3">
      <c r="A97" s="8" t="s">
        <v>157</v>
      </c>
      <c r="B97" s="8" t="s">
        <v>155</v>
      </c>
      <c r="C97" s="8" t="s">
        <v>61</v>
      </c>
      <c r="D97" s="9">
        <v>2759128.69</v>
      </c>
      <c r="E97" s="9">
        <v>294202.71999999997</v>
      </c>
      <c r="F97" s="8">
        <v>8.9</v>
      </c>
      <c r="G97" s="8">
        <v>9</v>
      </c>
      <c r="H97" s="8">
        <v>1</v>
      </c>
      <c r="I97" s="8">
        <v>12</v>
      </c>
      <c r="J97" s="10">
        <f t="shared" si="18"/>
        <v>1</v>
      </c>
      <c r="K97" s="11">
        <f t="shared" si="19"/>
        <v>2759128.69</v>
      </c>
      <c r="L97" s="11">
        <f t="shared" si="20"/>
        <v>294202.71999999997</v>
      </c>
      <c r="M97" s="11">
        <f t="shared" si="21"/>
        <v>3053331.41</v>
      </c>
      <c r="N97" s="11">
        <f t="shared" si="22"/>
        <v>3053331.41</v>
      </c>
      <c r="O97" s="11">
        <f t="shared" si="23"/>
        <v>3024133.6550000003</v>
      </c>
      <c r="P97" s="12">
        <f>IF(AND(C97="F",M97&lt;O97,SUMIFS(Категории!$Z$5:$Z$11,Категории!$A$5:$A$11,B97)=1),1,0)</f>
        <v>0</v>
      </c>
      <c r="Q97" s="11">
        <f t="shared" si="24"/>
        <v>0</v>
      </c>
      <c r="R97" s="10">
        <f>IF(AND(P97=1,SUMIFS(Категории!$AA$5:$AA$11,Категории!$A$5:$A$11,B97)&gt;0),Q97/SUMIFS(Категории!$AA$5:$AA$11,Категории!$A$5:$A$11,B97),0)</f>
        <v>0</v>
      </c>
      <c r="S97" s="11">
        <f>R97*SUMIFS(Категории!$AB$5:$AB$11,Категории!$A$5:$A$11,B97)</f>
        <v>0</v>
      </c>
      <c r="T97" s="11">
        <f t="shared" si="25"/>
        <v>0</v>
      </c>
      <c r="U97" s="11">
        <f t="shared" si="26"/>
        <v>0</v>
      </c>
      <c r="V97" s="11">
        <f t="shared" si="27"/>
        <v>0</v>
      </c>
      <c r="W97" s="12">
        <f>IF(AND(C97="F",M97&lt;O97,SUMIFS(Категории!$AH$5:$AH$11,Категории!$A$5:$A$11,B97)=1),1,0)</f>
        <v>0</v>
      </c>
      <c r="X97" s="11">
        <f t="shared" si="28"/>
        <v>0</v>
      </c>
      <c r="Y97" s="10">
        <f>IF(AND(W97=1,SUMIFS(Категории!$AI$5:$AI$11,Категории!$A$5:$A$11,B97)&gt;0),X97/SUMIFS(Категории!$AI$5:$AI$11,Категории!$A$5:$A$11,B97),0)</f>
        <v>0</v>
      </c>
      <c r="Z97" s="11">
        <f>Y97*SUMIFS(Категории!$AJ$5:$AJ$11,Категории!$A$5:$A$11,B97)</f>
        <v>0</v>
      </c>
      <c r="AA97" s="11">
        <f t="shared" si="29"/>
        <v>0</v>
      </c>
      <c r="AB97" s="11">
        <f t="shared" si="30"/>
        <v>0</v>
      </c>
      <c r="AC97" s="11">
        <f t="shared" si="31"/>
        <v>0</v>
      </c>
      <c r="AD97" s="12">
        <f t="shared" si="32"/>
        <v>15</v>
      </c>
      <c r="AE97" s="12">
        <f t="shared" si="33"/>
        <v>26</v>
      </c>
      <c r="AF97" s="12">
        <f t="shared" si="34"/>
        <v>10</v>
      </c>
      <c r="AG97" s="12">
        <f t="shared" si="35"/>
        <v>14</v>
      </c>
    </row>
    <row r="98" spans="1:33" x14ac:dyDescent="0.3">
      <c r="A98" s="8" t="s">
        <v>158</v>
      </c>
      <c r="B98" s="8" t="s">
        <v>155</v>
      </c>
      <c r="C98" s="8" t="s">
        <v>66</v>
      </c>
      <c r="D98" s="9">
        <v>2887200.15</v>
      </c>
      <c r="E98" s="9">
        <v>299541.34999999998</v>
      </c>
      <c r="F98" s="8">
        <v>9.9</v>
      </c>
      <c r="G98" s="8">
        <v>9</v>
      </c>
      <c r="H98" s="8">
        <v>1</v>
      </c>
      <c r="I98" s="8">
        <v>12</v>
      </c>
      <c r="J98" s="10">
        <f t="shared" si="18"/>
        <v>1</v>
      </c>
      <c r="K98" s="11">
        <f t="shared" si="19"/>
        <v>2887200.15</v>
      </c>
      <c r="L98" s="11">
        <f t="shared" si="20"/>
        <v>299541.34999999998</v>
      </c>
      <c r="M98" s="11">
        <f t="shared" si="21"/>
        <v>3186741.5</v>
      </c>
      <c r="N98" s="11">
        <f t="shared" si="22"/>
        <v>3186741.5</v>
      </c>
      <c r="O98" s="11">
        <f t="shared" si="23"/>
        <v>3024133.6550000003</v>
      </c>
      <c r="P98" s="12">
        <f>IF(AND(C98="F",M98&lt;O98,SUMIFS(Категории!$Z$5:$Z$11,Категории!$A$5:$A$11,B98)=1),1,0)</f>
        <v>0</v>
      </c>
      <c r="Q98" s="11">
        <f t="shared" si="24"/>
        <v>0</v>
      </c>
      <c r="R98" s="10">
        <f>IF(AND(P98=1,SUMIFS(Категории!$AA$5:$AA$11,Категории!$A$5:$A$11,B98)&gt;0),Q98/SUMIFS(Категории!$AA$5:$AA$11,Категории!$A$5:$A$11,B98),0)</f>
        <v>0</v>
      </c>
      <c r="S98" s="11">
        <f>R98*SUMIFS(Категории!$AB$5:$AB$11,Категории!$A$5:$A$11,B98)</f>
        <v>0</v>
      </c>
      <c r="T98" s="11">
        <f t="shared" si="25"/>
        <v>0</v>
      </c>
      <c r="U98" s="11">
        <f t="shared" si="26"/>
        <v>0</v>
      </c>
      <c r="V98" s="11">
        <f t="shared" si="27"/>
        <v>0</v>
      </c>
      <c r="W98" s="12">
        <f>IF(AND(C98="F",M98&lt;O98,SUMIFS(Категории!$AH$5:$AH$11,Категории!$A$5:$A$11,B98)=1),1,0)</f>
        <v>0</v>
      </c>
      <c r="X98" s="11">
        <f t="shared" si="28"/>
        <v>0</v>
      </c>
      <c r="Y98" s="10">
        <f>IF(AND(W98=1,SUMIFS(Категории!$AI$5:$AI$11,Категории!$A$5:$A$11,B98)&gt;0),X98/SUMIFS(Категории!$AI$5:$AI$11,Категории!$A$5:$A$11,B98),0)</f>
        <v>0</v>
      </c>
      <c r="Z98" s="11">
        <f>Y98*SUMIFS(Категории!$AJ$5:$AJ$11,Категории!$A$5:$A$11,B98)</f>
        <v>0</v>
      </c>
      <c r="AA98" s="11">
        <f t="shared" si="29"/>
        <v>0</v>
      </c>
      <c r="AB98" s="11">
        <f t="shared" si="30"/>
        <v>0</v>
      </c>
      <c r="AC98" s="11">
        <f t="shared" si="31"/>
        <v>0</v>
      </c>
      <c r="AD98" s="12">
        <f t="shared" si="32"/>
        <v>20</v>
      </c>
      <c r="AE98" s="12">
        <f t="shared" si="33"/>
        <v>26</v>
      </c>
      <c r="AF98" s="12">
        <f t="shared" si="34"/>
        <v>7</v>
      </c>
      <c r="AG98" s="12">
        <f t="shared" si="35"/>
        <v>12</v>
      </c>
    </row>
    <row r="99" spans="1:33" x14ac:dyDescent="0.3">
      <c r="A99" s="8" t="s">
        <v>159</v>
      </c>
      <c r="B99" s="8" t="s">
        <v>155</v>
      </c>
      <c r="C99" s="8" t="s">
        <v>61</v>
      </c>
      <c r="D99" s="9">
        <v>2132372.89</v>
      </c>
      <c r="E99" s="9">
        <v>265595.62</v>
      </c>
      <c r="F99" s="8">
        <v>4.8</v>
      </c>
      <c r="G99" s="8">
        <v>7</v>
      </c>
      <c r="H99" s="8">
        <v>1</v>
      </c>
      <c r="I99" s="8">
        <v>12</v>
      </c>
      <c r="J99" s="10">
        <f t="shared" si="18"/>
        <v>1</v>
      </c>
      <c r="K99" s="11">
        <f t="shared" si="19"/>
        <v>2132372.89</v>
      </c>
      <c r="L99" s="11">
        <f t="shared" si="20"/>
        <v>265595.62</v>
      </c>
      <c r="M99" s="11">
        <f t="shared" si="21"/>
        <v>2397968.5100000002</v>
      </c>
      <c r="N99" s="11">
        <f t="shared" si="22"/>
        <v>2397968.5100000002</v>
      </c>
      <c r="O99" s="11">
        <f t="shared" si="23"/>
        <v>3024133.6550000003</v>
      </c>
      <c r="P99" s="12">
        <f>IF(AND(C99="F",M99&lt;O99,SUMIFS(Категории!$Z$5:$Z$11,Категории!$A$5:$A$11,B99)=1),1,0)</f>
        <v>0</v>
      </c>
      <c r="Q99" s="11">
        <f t="shared" si="24"/>
        <v>0</v>
      </c>
      <c r="R99" s="10">
        <f>IF(AND(P99=1,SUMIFS(Категории!$AA$5:$AA$11,Категории!$A$5:$A$11,B99)&gt;0),Q99/SUMIFS(Категории!$AA$5:$AA$11,Категории!$A$5:$A$11,B99),0)</f>
        <v>0</v>
      </c>
      <c r="S99" s="11">
        <f>R99*SUMIFS(Категории!$AB$5:$AB$11,Категории!$A$5:$A$11,B99)</f>
        <v>0</v>
      </c>
      <c r="T99" s="11">
        <f t="shared" si="25"/>
        <v>0</v>
      </c>
      <c r="U99" s="11">
        <f t="shared" si="26"/>
        <v>0</v>
      </c>
      <c r="V99" s="11">
        <f t="shared" si="27"/>
        <v>0</v>
      </c>
      <c r="W99" s="12">
        <f>IF(AND(C99="F",M99&lt;O99,SUMIFS(Категории!$AH$5:$AH$11,Категории!$A$5:$A$11,B99)=1),1,0)</f>
        <v>0</v>
      </c>
      <c r="X99" s="11">
        <f t="shared" si="28"/>
        <v>0</v>
      </c>
      <c r="Y99" s="10">
        <f>IF(AND(W99=1,SUMIFS(Категории!$AI$5:$AI$11,Категории!$A$5:$A$11,B99)&gt;0),X99/SUMIFS(Категории!$AI$5:$AI$11,Категории!$A$5:$A$11,B99),0)</f>
        <v>0</v>
      </c>
      <c r="Z99" s="11">
        <f>Y99*SUMIFS(Категории!$AJ$5:$AJ$11,Категории!$A$5:$A$11,B99)</f>
        <v>0</v>
      </c>
      <c r="AA99" s="11">
        <f t="shared" si="29"/>
        <v>0</v>
      </c>
      <c r="AB99" s="11">
        <f t="shared" si="30"/>
        <v>0</v>
      </c>
      <c r="AC99" s="11">
        <f t="shared" si="31"/>
        <v>0</v>
      </c>
      <c r="AD99" s="12">
        <f t="shared" si="32"/>
        <v>7</v>
      </c>
      <c r="AE99" s="12">
        <f t="shared" si="33"/>
        <v>26</v>
      </c>
      <c r="AF99" s="12">
        <f t="shared" si="34"/>
        <v>6</v>
      </c>
      <c r="AG99" s="12">
        <f t="shared" si="35"/>
        <v>14</v>
      </c>
    </row>
    <row r="100" spans="1:33" x14ac:dyDescent="0.3">
      <c r="A100" s="8" t="s">
        <v>160</v>
      </c>
      <c r="B100" s="8" t="s">
        <v>155</v>
      </c>
      <c r="C100" s="8" t="s">
        <v>61</v>
      </c>
      <c r="D100" s="9">
        <v>3302521.52</v>
      </c>
      <c r="E100" s="9">
        <v>257238.05</v>
      </c>
      <c r="F100" s="8">
        <v>13</v>
      </c>
      <c r="G100" s="8">
        <v>10</v>
      </c>
      <c r="H100" s="8">
        <v>1</v>
      </c>
      <c r="I100" s="8">
        <v>12</v>
      </c>
      <c r="J100" s="10">
        <f t="shared" si="18"/>
        <v>1</v>
      </c>
      <c r="K100" s="11">
        <f t="shared" si="19"/>
        <v>3302521.52</v>
      </c>
      <c r="L100" s="11">
        <f t="shared" si="20"/>
        <v>257238.05</v>
      </c>
      <c r="M100" s="11">
        <f t="shared" si="21"/>
        <v>3559759.57</v>
      </c>
      <c r="N100" s="11">
        <f t="shared" si="22"/>
        <v>3559759.57</v>
      </c>
      <c r="O100" s="11">
        <f t="shared" si="23"/>
        <v>3024133.6550000003</v>
      </c>
      <c r="P100" s="12">
        <f>IF(AND(C100="F",M100&lt;O100,SUMIFS(Категории!$Z$5:$Z$11,Категории!$A$5:$A$11,B100)=1),1,0)</f>
        <v>0</v>
      </c>
      <c r="Q100" s="11">
        <f t="shared" si="24"/>
        <v>0</v>
      </c>
      <c r="R100" s="10">
        <f>IF(AND(P100=1,SUMIFS(Категории!$AA$5:$AA$11,Категории!$A$5:$A$11,B100)&gt;0),Q100/SUMIFS(Категории!$AA$5:$AA$11,Категории!$A$5:$A$11,B100),0)</f>
        <v>0</v>
      </c>
      <c r="S100" s="11">
        <f>R100*SUMIFS(Категории!$AB$5:$AB$11,Категории!$A$5:$A$11,B100)</f>
        <v>0</v>
      </c>
      <c r="T100" s="11">
        <f t="shared" si="25"/>
        <v>0</v>
      </c>
      <c r="U100" s="11">
        <f t="shared" si="26"/>
        <v>0</v>
      </c>
      <c r="V100" s="11">
        <f t="shared" si="27"/>
        <v>0</v>
      </c>
      <c r="W100" s="12">
        <f>IF(AND(C100="F",M100&lt;O100,SUMIFS(Категории!$AH$5:$AH$11,Категории!$A$5:$A$11,B100)=1),1,0)</f>
        <v>0</v>
      </c>
      <c r="X100" s="11">
        <f t="shared" si="28"/>
        <v>0</v>
      </c>
      <c r="Y100" s="10">
        <f>IF(AND(W100=1,SUMIFS(Категории!$AI$5:$AI$11,Категории!$A$5:$A$11,B100)&gt;0),X100/SUMIFS(Категории!$AI$5:$AI$11,Категории!$A$5:$A$11,B100),0)</f>
        <v>0</v>
      </c>
      <c r="Z100" s="11">
        <f>Y100*SUMIFS(Категории!$AJ$5:$AJ$11,Категории!$A$5:$A$11,B100)</f>
        <v>0</v>
      </c>
      <c r="AA100" s="11">
        <f t="shared" si="29"/>
        <v>0</v>
      </c>
      <c r="AB100" s="11">
        <f t="shared" si="30"/>
        <v>0</v>
      </c>
      <c r="AC100" s="11">
        <f t="shared" si="31"/>
        <v>0</v>
      </c>
      <c r="AD100" s="12">
        <f t="shared" si="32"/>
        <v>24</v>
      </c>
      <c r="AE100" s="12">
        <f t="shared" si="33"/>
        <v>26</v>
      </c>
      <c r="AF100" s="12">
        <f t="shared" si="34"/>
        <v>14</v>
      </c>
      <c r="AG100" s="12">
        <f t="shared" si="35"/>
        <v>14</v>
      </c>
    </row>
    <row r="101" spans="1:33" x14ac:dyDescent="0.3">
      <c r="A101" s="8" t="s">
        <v>161</v>
      </c>
      <c r="B101" s="8" t="s">
        <v>155</v>
      </c>
      <c r="C101" s="8" t="s">
        <v>61</v>
      </c>
      <c r="D101" s="9">
        <v>2714051.48</v>
      </c>
      <c r="E101" s="9">
        <v>312267.98</v>
      </c>
      <c r="F101" s="8">
        <v>8.1999999999999993</v>
      </c>
      <c r="G101" s="8">
        <v>10</v>
      </c>
      <c r="H101" s="8">
        <v>1</v>
      </c>
      <c r="I101" s="8">
        <v>12</v>
      </c>
      <c r="J101" s="10">
        <f t="shared" si="18"/>
        <v>1</v>
      </c>
      <c r="K101" s="11">
        <f t="shared" si="19"/>
        <v>2714051.48</v>
      </c>
      <c r="L101" s="11">
        <f t="shared" si="20"/>
        <v>312267.98</v>
      </c>
      <c r="M101" s="11">
        <f t="shared" si="21"/>
        <v>3026319.46</v>
      </c>
      <c r="N101" s="11">
        <f t="shared" si="22"/>
        <v>3026319.46</v>
      </c>
      <c r="O101" s="11">
        <f t="shared" si="23"/>
        <v>3024133.6550000003</v>
      </c>
      <c r="P101" s="12">
        <f>IF(AND(C101="F",M101&lt;O101,SUMIFS(Категории!$Z$5:$Z$11,Категории!$A$5:$A$11,B101)=1),1,0)</f>
        <v>0</v>
      </c>
      <c r="Q101" s="11">
        <f t="shared" si="24"/>
        <v>0</v>
      </c>
      <c r="R101" s="10">
        <f>IF(AND(P101=1,SUMIFS(Категории!$AA$5:$AA$11,Категории!$A$5:$A$11,B101)&gt;0),Q101/SUMIFS(Категории!$AA$5:$AA$11,Категории!$A$5:$A$11,B101),0)</f>
        <v>0</v>
      </c>
      <c r="S101" s="11">
        <f>R101*SUMIFS(Категории!$AB$5:$AB$11,Категории!$A$5:$A$11,B101)</f>
        <v>0</v>
      </c>
      <c r="T101" s="11">
        <f t="shared" si="25"/>
        <v>0</v>
      </c>
      <c r="U101" s="11">
        <f t="shared" si="26"/>
        <v>0</v>
      </c>
      <c r="V101" s="11">
        <f t="shared" si="27"/>
        <v>0</v>
      </c>
      <c r="W101" s="12">
        <f>IF(AND(C101="F",M101&lt;O101,SUMIFS(Категории!$AH$5:$AH$11,Категории!$A$5:$A$11,B101)=1),1,0)</f>
        <v>0</v>
      </c>
      <c r="X101" s="11">
        <f t="shared" si="28"/>
        <v>0</v>
      </c>
      <c r="Y101" s="10">
        <f>IF(AND(W101=1,SUMIFS(Категории!$AI$5:$AI$11,Категории!$A$5:$A$11,B101)&gt;0),X101/SUMIFS(Категории!$AI$5:$AI$11,Категории!$A$5:$A$11,B101),0)</f>
        <v>0</v>
      </c>
      <c r="Z101" s="11">
        <f>Y101*SUMIFS(Категории!$AJ$5:$AJ$11,Категории!$A$5:$A$11,B101)</f>
        <v>0</v>
      </c>
      <c r="AA101" s="11">
        <f t="shared" si="29"/>
        <v>0</v>
      </c>
      <c r="AB101" s="11">
        <f t="shared" si="30"/>
        <v>0</v>
      </c>
      <c r="AC101" s="11">
        <f t="shared" si="31"/>
        <v>0</v>
      </c>
      <c r="AD101" s="12">
        <f t="shared" si="32"/>
        <v>14</v>
      </c>
      <c r="AE101" s="12">
        <f t="shared" si="33"/>
        <v>26</v>
      </c>
      <c r="AF101" s="12">
        <f t="shared" si="34"/>
        <v>9</v>
      </c>
      <c r="AG101" s="12">
        <f t="shared" si="35"/>
        <v>14</v>
      </c>
    </row>
    <row r="102" spans="1:33" x14ac:dyDescent="0.3">
      <c r="A102" s="8" t="s">
        <v>162</v>
      </c>
      <c r="B102" s="8" t="s">
        <v>155</v>
      </c>
      <c r="C102" s="8" t="s">
        <v>66</v>
      </c>
      <c r="D102" s="9">
        <v>3309498.64</v>
      </c>
      <c r="E102" s="9">
        <v>305429.23</v>
      </c>
      <c r="F102" s="8">
        <v>8.4</v>
      </c>
      <c r="G102" s="8">
        <v>10</v>
      </c>
      <c r="H102" s="8">
        <v>1</v>
      </c>
      <c r="I102" s="8">
        <v>12</v>
      </c>
      <c r="J102" s="10">
        <f t="shared" si="18"/>
        <v>1</v>
      </c>
      <c r="K102" s="11">
        <f t="shared" si="19"/>
        <v>3309498.64</v>
      </c>
      <c r="L102" s="11">
        <f t="shared" si="20"/>
        <v>305429.23</v>
      </c>
      <c r="M102" s="11">
        <f t="shared" si="21"/>
        <v>3614927.87</v>
      </c>
      <c r="N102" s="11">
        <f t="shared" si="22"/>
        <v>3614927.87</v>
      </c>
      <c r="O102" s="11">
        <f t="shared" si="23"/>
        <v>3024133.6550000003</v>
      </c>
      <c r="P102" s="12">
        <f>IF(AND(C102="F",M102&lt;O102,SUMIFS(Категории!$Z$5:$Z$11,Категории!$A$5:$A$11,B102)=1),1,0)</f>
        <v>0</v>
      </c>
      <c r="Q102" s="11">
        <f t="shared" si="24"/>
        <v>0</v>
      </c>
      <c r="R102" s="10">
        <f>IF(AND(P102=1,SUMIFS(Категории!$AA$5:$AA$11,Категории!$A$5:$A$11,B102)&gt;0),Q102/SUMIFS(Категории!$AA$5:$AA$11,Категории!$A$5:$A$11,B102),0)</f>
        <v>0</v>
      </c>
      <c r="S102" s="11">
        <f>R102*SUMIFS(Категории!$AB$5:$AB$11,Категории!$A$5:$A$11,B102)</f>
        <v>0</v>
      </c>
      <c r="T102" s="11">
        <f t="shared" si="25"/>
        <v>0</v>
      </c>
      <c r="U102" s="11">
        <f t="shared" si="26"/>
        <v>0</v>
      </c>
      <c r="V102" s="11">
        <f t="shared" si="27"/>
        <v>0</v>
      </c>
      <c r="W102" s="12">
        <f>IF(AND(C102="F",M102&lt;O102,SUMIFS(Категории!$AH$5:$AH$11,Категории!$A$5:$A$11,B102)=1),1,0)</f>
        <v>0</v>
      </c>
      <c r="X102" s="11">
        <f t="shared" si="28"/>
        <v>0</v>
      </c>
      <c r="Y102" s="10">
        <f>IF(AND(W102=1,SUMIFS(Категории!$AI$5:$AI$11,Категории!$A$5:$A$11,B102)&gt;0),X102/SUMIFS(Категории!$AI$5:$AI$11,Категории!$A$5:$A$11,B102),0)</f>
        <v>0</v>
      </c>
      <c r="Z102" s="11">
        <f>Y102*SUMIFS(Категории!$AJ$5:$AJ$11,Категории!$A$5:$A$11,B102)</f>
        <v>0</v>
      </c>
      <c r="AA102" s="11">
        <f t="shared" si="29"/>
        <v>0</v>
      </c>
      <c r="AB102" s="11">
        <f t="shared" si="30"/>
        <v>0</v>
      </c>
      <c r="AC102" s="11">
        <f t="shared" si="31"/>
        <v>0</v>
      </c>
      <c r="AD102" s="12">
        <f t="shared" si="32"/>
        <v>25</v>
      </c>
      <c r="AE102" s="12">
        <f t="shared" si="33"/>
        <v>26</v>
      </c>
      <c r="AF102" s="12">
        <f t="shared" si="34"/>
        <v>11</v>
      </c>
      <c r="AG102" s="12">
        <f t="shared" si="35"/>
        <v>12</v>
      </c>
    </row>
    <row r="103" spans="1:33" x14ac:dyDescent="0.3">
      <c r="A103" s="8" t="s">
        <v>163</v>
      </c>
      <c r="B103" s="8" t="s">
        <v>155</v>
      </c>
      <c r="C103" s="8" t="s">
        <v>66</v>
      </c>
      <c r="D103" s="9">
        <v>2432221.59</v>
      </c>
      <c r="E103" s="9">
        <v>298366.52</v>
      </c>
      <c r="F103" s="8">
        <v>8.1</v>
      </c>
      <c r="G103" s="8">
        <v>8</v>
      </c>
      <c r="H103" s="8">
        <v>1</v>
      </c>
      <c r="I103" s="8">
        <v>12</v>
      </c>
      <c r="J103" s="10">
        <f t="shared" si="18"/>
        <v>1</v>
      </c>
      <c r="K103" s="11">
        <f t="shared" si="19"/>
        <v>2432221.59</v>
      </c>
      <c r="L103" s="11">
        <f t="shared" si="20"/>
        <v>298366.52</v>
      </c>
      <c r="M103" s="11">
        <f t="shared" si="21"/>
        <v>2730588.11</v>
      </c>
      <c r="N103" s="11">
        <f t="shared" si="22"/>
        <v>2730588.11</v>
      </c>
      <c r="O103" s="11">
        <f t="shared" si="23"/>
        <v>3024133.6550000003</v>
      </c>
      <c r="P103" s="12">
        <f>IF(AND(C103="F",M103&lt;O103,SUMIFS(Категории!$Z$5:$Z$11,Категории!$A$5:$A$11,B103)=1),1,0)</f>
        <v>0</v>
      </c>
      <c r="Q103" s="11">
        <f t="shared" si="24"/>
        <v>0</v>
      </c>
      <c r="R103" s="10">
        <f>IF(AND(P103=1,SUMIFS(Категории!$AA$5:$AA$11,Категории!$A$5:$A$11,B103)&gt;0),Q103/SUMIFS(Категории!$AA$5:$AA$11,Категории!$A$5:$A$11,B103),0)</f>
        <v>0</v>
      </c>
      <c r="S103" s="11">
        <f>R103*SUMIFS(Категории!$AB$5:$AB$11,Категории!$A$5:$A$11,B103)</f>
        <v>0</v>
      </c>
      <c r="T103" s="11">
        <f t="shared" si="25"/>
        <v>0</v>
      </c>
      <c r="U103" s="11">
        <f t="shared" si="26"/>
        <v>0</v>
      </c>
      <c r="V103" s="11">
        <f t="shared" si="27"/>
        <v>0</v>
      </c>
      <c r="W103" s="12">
        <f>IF(AND(C103="F",M103&lt;O103,SUMIFS(Категории!$AH$5:$AH$11,Категории!$A$5:$A$11,B103)=1),1,0)</f>
        <v>0</v>
      </c>
      <c r="X103" s="11">
        <f t="shared" si="28"/>
        <v>0</v>
      </c>
      <c r="Y103" s="10">
        <f>IF(AND(W103=1,SUMIFS(Категории!$AI$5:$AI$11,Категории!$A$5:$A$11,B103)&gt;0),X103/SUMIFS(Категории!$AI$5:$AI$11,Категории!$A$5:$A$11,B103),0)</f>
        <v>0</v>
      </c>
      <c r="Z103" s="11">
        <f>Y103*SUMIFS(Категории!$AJ$5:$AJ$11,Категории!$A$5:$A$11,B103)</f>
        <v>0</v>
      </c>
      <c r="AA103" s="11">
        <f t="shared" si="29"/>
        <v>0</v>
      </c>
      <c r="AB103" s="11">
        <f t="shared" si="30"/>
        <v>0</v>
      </c>
      <c r="AC103" s="11">
        <f t="shared" si="31"/>
        <v>0</v>
      </c>
      <c r="AD103" s="12">
        <f t="shared" si="32"/>
        <v>10</v>
      </c>
      <c r="AE103" s="12">
        <f t="shared" si="33"/>
        <v>26</v>
      </c>
      <c r="AF103" s="12">
        <f t="shared" si="34"/>
        <v>3</v>
      </c>
      <c r="AG103" s="12">
        <f t="shared" si="35"/>
        <v>12</v>
      </c>
    </row>
    <row r="104" spans="1:33" x14ac:dyDescent="0.3">
      <c r="A104" s="8" t="s">
        <v>164</v>
      </c>
      <c r="B104" s="8" t="s">
        <v>155</v>
      </c>
      <c r="C104" s="8" t="s">
        <v>66</v>
      </c>
      <c r="D104" s="9">
        <v>3352747.46</v>
      </c>
      <c r="E104" s="9">
        <v>332853.68</v>
      </c>
      <c r="F104" s="8">
        <v>12.9</v>
      </c>
      <c r="G104" s="8">
        <v>10</v>
      </c>
      <c r="H104" s="8">
        <v>1</v>
      </c>
      <c r="I104" s="8">
        <v>12</v>
      </c>
      <c r="J104" s="10">
        <f t="shared" si="18"/>
        <v>1</v>
      </c>
      <c r="K104" s="11">
        <f t="shared" si="19"/>
        <v>3352747.46</v>
      </c>
      <c r="L104" s="11">
        <f t="shared" si="20"/>
        <v>332853.68</v>
      </c>
      <c r="M104" s="11">
        <f t="shared" si="21"/>
        <v>3685601.14</v>
      </c>
      <c r="N104" s="11">
        <f t="shared" si="22"/>
        <v>3685601.14</v>
      </c>
      <c r="O104" s="11">
        <f t="shared" si="23"/>
        <v>3024133.6550000003</v>
      </c>
      <c r="P104" s="12">
        <f>IF(AND(C104="F",M104&lt;O104,SUMIFS(Категории!$Z$5:$Z$11,Категории!$A$5:$A$11,B104)=1),1,0)</f>
        <v>0</v>
      </c>
      <c r="Q104" s="11">
        <f t="shared" si="24"/>
        <v>0</v>
      </c>
      <c r="R104" s="10">
        <f>IF(AND(P104=1,SUMIFS(Категории!$AA$5:$AA$11,Категории!$A$5:$A$11,B104)&gt;0),Q104/SUMIFS(Категории!$AA$5:$AA$11,Категории!$A$5:$A$11,B104),0)</f>
        <v>0</v>
      </c>
      <c r="S104" s="11">
        <f>R104*SUMIFS(Категории!$AB$5:$AB$11,Категории!$A$5:$A$11,B104)</f>
        <v>0</v>
      </c>
      <c r="T104" s="11">
        <f t="shared" si="25"/>
        <v>0</v>
      </c>
      <c r="U104" s="11">
        <f t="shared" si="26"/>
        <v>0</v>
      </c>
      <c r="V104" s="11">
        <f t="shared" si="27"/>
        <v>0</v>
      </c>
      <c r="W104" s="12">
        <f>IF(AND(C104="F",M104&lt;O104,SUMIFS(Категории!$AH$5:$AH$11,Категории!$A$5:$A$11,B104)=1),1,0)</f>
        <v>0</v>
      </c>
      <c r="X104" s="11">
        <f t="shared" si="28"/>
        <v>0</v>
      </c>
      <c r="Y104" s="10">
        <f>IF(AND(W104=1,SUMIFS(Категории!$AI$5:$AI$11,Категории!$A$5:$A$11,B104)&gt;0),X104/SUMIFS(Категории!$AI$5:$AI$11,Категории!$A$5:$A$11,B104),0)</f>
        <v>0</v>
      </c>
      <c r="Z104" s="11">
        <f>Y104*SUMIFS(Категории!$AJ$5:$AJ$11,Категории!$A$5:$A$11,B104)</f>
        <v>0</v>
      </c>
      <c r="AA104" s="11">
        <f t="shared" si="29"/>
        <v>0</v>
      </c>
      <c r="AB104" s="11">
        <f t="shared" si="30"/>
        <v>0</v>
      </c>
      <c r="AC104" s="11">
        <f t="shared" si="31"/>
        <v>0</v>
      </c>
      <c r="AD104" s="12">
        <f t="shared" si="32"/>
        <v>26</v>
      </c>
      <c r="AE104" s="12">
        <f t="shared" si="33"/>
        <v>26</v>
      </c>
      <c r="AF104" s="12">
        <f t="shared" si="34"/>
        <v>12</v>
      </c>
      <c r="AG104" s="12">
        <f t="shared" si="35"/>
        <v>12</v>
      </c>
    </row>
    <row r="105" spans="1:33" x14ac:dyDescent="0.3">
      <c r="A105" s="8" t="s">
        <v>165</v>
      </c>
      <c r="B105" s="8" t="s">
        <v>155</v>
      </c>
      <c r="C105" s="8" t="s">
        <v>61</v>
      </c>
      <c r="D105" s="9">
        <v>2743962.02</v>
      </c>
      <c r="E105" s="9">
        <v>330413.31</v>
      </c>
      <c r="F105" s="8">
        <v>8.1999999999999993</v>
      </c>
      <c r="G105" s="8">
        <v>10</v>
      </c>
      <c r="H105" s="8">
        <v>1</v>
      </c>
      <c r="I105" s="8">
        <v>12</v>
      </c>
      <c r="J105" s="10">
        <f t="shared" si="18"/>
        <v>1</v>
      </c>
      <c r="K105" s="11">
        <f t="shared" si="19"/>
        <v>2743962.02</v>
      </c>
      <c r="L105" s="11">
        <f t="shared" si="20"/>
        <v>330413.31</v>
      </c>
      <c r="M105" s="11">
        <f t="shared" si="21"/>
        <v>3074375.33</v>
      </c>
      <c r="N105" s="11">
        <f t="shared" si="22"/>
        <v>3074375.33</v>
      </c>
      <c r="O105" s="11">
        <f t="shared" si="23"/>
        <v>3024133.6550000003</v>
      </c>
      <c r="P105" s="12">
        <f>IF(AND(C105="F",M105&lt;O105,SUMIFS(Категории!$Z$5:$Z$11,Категории!$A$5:$A$11,B105)=1),1,0)</f>
        <v>0</v>
      </c>
      <c r="Q105" s="11">
        <f t="shared" si="24"/>
        <v>0</v>
      </c>
      <c r="R105" s="10">
        <f>IF(AND(P105=1,SUMIFS(Категории!$AA$5:$AA$11,Категории!$A$5:$A$11,B105)&gt;0),Q105/SUMIFS(Категории!$AA$5:$AA$11,Категории!$A$5:$A$11,B105),0)</f>
        <v>0</v>
      </c>
      <c r="S105" s="11">
        <f>R105*SUMIFS(Категории!$AB$5:$AB$11,Категории!$A$5:$A$11,B105)</f>
        <v>0</v>
      </c>
      <c r="T105" s="11">
        <f t="shared" si="25"/>
        <v>0</v>
      </c>
      <c r="U105" s="11">
        <f t="shared" si="26"/>
        <v>0</v>
      </c>
      <c r="V105" s="11">
        <f t="shared" si="27"/>
        <v>0</v>
      </c>
      <c r="W105" s="12">
        <f>IF(AND(C105="F",M105&lt;O105,SUMIFS(Категории!$AH$5:$AH$11,Категории!$A$5:$A$11,B105)=1),1,0)</f>
        <v>0</v>
      </c>
      <c r="X105" s="11">
        <f t="shared" si="28"/>
        <v>0</v>
      </c>
      <c r="Y105" s="10">
        <f>IF(AND(W105=1,SUMIFS(Категории!$AI$5:$AI$11,Категории!$A$5:$A$11,B105)&gt;0),X105/SUMIFS(Категории!$AI$5:$AI$11,Категории!$A$5:$A$11,B105),0)</f>
        <v>0</v>
      </c>
      <c r="Z105" s="11">
        <f>Y105*SUMIFS(Категории!$AJ$5:$AJ$11,Категории!$A$5:$A$11,B105)</f>
        <v>0</v>
      </c>
      <c r="AA105" s="11">
        <f t="shared" si="29"/>
        <v>0</v>
      </c>
      <c r="AB105" s="11">
        <f t="shared" si="30"/>
        <v>0</v>
      </c>
      <c r="AC105" s="11">
        <f t="shared" si="31"/>
        <v>0</v>
      </c>
      <c r="AD105" s="12">
        <f t="shared" si="32"/>
        <v>16</v>
      </c>
      <c r="AE105" s="12">
        <f t="shared" si="33"/>
        <v>26</v>
      </c>
      <c r="AF105" s="12">
        <f t="shared" si="34"/>
        <v>11</v>
      </c>
      <c r="AG105" s="12">
        <f t="shared" si="35"/>
        <v>14</v>
      </c>
    </row>
    <row r="106" spans="1:33" x14ac:dyDescent="0.3">
      <c r="A106" s="8" t="s">
        <v>166</v>
      </c>
      <c r="B106" s="8" t="s">
        <v>155</v>
      </c>
      <c r="C106" s="8" t="s">
        <v>61</v>
      </c>
      <c r="D106" s="9">
        <v>2563111.38</v>
      </c>
      <c r="E106" s="9">
        <v>251233.6</v>
      </c>
      <c r="F106" s="8">
        <v>7</v>
      </c>
      <c r="G106" s="8">
        <v>8</v>
      </c>
      <c r="H106" s="8">
        <v>1</v>
      </c>
      <c r="I106" s="8">
        <v>12</v>
      </c>
      <c r="J106" s="10">
        <f t="shared" si="18"/>
        <v>1</v>
      </c>
      <c r="K106" s="11">
        <f t="shared" si="19"/>
        <v>2563111.38</v>
      </c>
      <c r="L106" s="11">
        <f t="shared" si="20"/>
        <v>251233.6</v>
      </c>
      <c r="M106" s="11">
        <f t="shared" si="21"/>
        <v>2814344.98</v>
      </c>
      <c r="N106" s="11">
        <f t="shared" si="22"/>
        <v>2814344.98</v>
      </c>
      <c r="O106" s="11">
        <f t="shared" si="23"/>
        <v>3024133.6550000003</v>
      </c>
      <c r="P106" s="12">
        <f>IF(AND(C106="F",M106&lt;O106,SUMIFS(Категории!$Z$5:$Z$11,Категории!$A$5:$A$11,B106)=1),1,0)</f>
        <v>0</v>
      </c>
      <c r="Q106" s="11">
        <f t="shared" si="24"/>
        <v>0</v>
      </c>
      <c r="R106" s="10">
        <f>IF(AND(P106=1,SUMIFS(Категории!$AA$5:$AA$11,Категории!$A$5:$A$11,B106)&gt;0),Q106/SUMIFS(Категории!$AA$5:$AA$11,Категории!$A$5:$A$11,B106),0)</f>
        <v>0</v>
      </c>
      <c r="S106" s="11">
        <f>R106*SUMIFS(Категории!$AB$5:$AB$11,Категории!$A$5:$A$11,B106)</f>
        <v>0</v>
      </c>
      <c r="T106" s="11">
        <f t="shared" si="25"/>
        <v>0</v>
      </c>
      <c r="U106" s="11">
        <f t="shared" si="26"/>
        <v>0</v>
      </c>
      <c r="V106" s="11">
        <f t="shared" si="27"/>
        <v>0</v>
      </c>
      <c r="W106" s="12">
        <f>IF(AND(C106="F",M106&lt;O106,SUMIFS(Категории!$AH$5:$AH$11,Категории!$A$5:$A$11,B106)=1),1,0)</f>
        <v>0</v>
      </c>
      <c r="X106" s="11">
        <f t="shared" si="28"/>
        <v>0</v>
      </c>
      <c r="Y106" s="10">
        <f>IF(AND(W106=1,SUMIFS(Категории!$AI$5:$AI$11,Категории!$A$5:$A$11,B106)&gt;0),X106/SUMIFS(Категории!$AI$5:$AI$11,Категории!$A$5:$A$11,B106),0)</f>
        <v>0</v>
      </c>
      <c r="Z106" s="11">
        <f>Y106*SUMIFS(Категории!$AJ$5:$AJ$11,Категории!$A$5:$A$11,B106)</f>
        <v>0</v>
      </c>
      <c r="AA106" s="11">
        <f t="shared" si="29"/>
        <v>0</v>
      </c>
      <c r="AB106" s="11">
        <f t="shared" si="30"/>
        <v>0</v>
      </c>
      <c r="AC106" s="11">
        <f t="shared" si="31"/>
        <v>0</v>
      </c>
      <c r="AD106" s="12">
        <f t="shared" si="32"/>
        <v>11</v>
      </c>
      <c r="AE106" s="12">
        <f t="shared" si="33"/>
        <v>26</v>
      </c>
      <c r="AF106" s="12">
        <f t="shared" si="34"/>
        <v>8</v>
      </c>
      <c r="AG106" s="12">
        <f t="shared" si="35"/>
        <v>14</v>
      </c>
    </row>
    <row r="107" spans="1:33" x14ac:dyDescent="0.3">
      <c r="A107" s="8" t="s">
        <v>167</v>
      </c>
      <c r="B107" s="8" t="s">
        <v>155</v>
      </c>
      <c r="C107" s="8" t="s">
        <v>66</v>
      </c>
      <c r="D107" s="9">
        <v>2821976.7</v>
      </c>
      <c r="E107" s="9">
        <v>266752.28999999998</v>
      </c>
      <c r="F107" s="8">
        <v>5.9</v>
      </c>
      <c r="G107" s="8">
        <v>9</v>
      </c>
      <c r="H107" s="8">
        <v>1</v>
      </c>
      <c r="I107" s="8">
        <v>12</v>
      </c>
      <c r="J107" s="10">
        <f t="shared" si="18"/>
        <v>1</v>
      </c>
      <c r="K107" s="11">
        <f t="shared" si="19"/>
        <v>2821976.7</v>
      </c>
      <c r="L107" s="11">
        <f t="shared" si="20"/>
        <v>266752.28999999998</v>
      </c>
      <c r="M107" s="11">
        <f t="shared" si="21"/>
        <v>3088728.99</v>
      </c>
      <c r="N107" s="11">
        <f t="shared" si="22"/>
        <v>3088728.99</v>
      </c>
      <c r="O107" s="11">
        <f t="shared" si="23"/>
        <v>3024133.6550000003</v>
      </c>
      <c r="P107" s="12">
        <f>IF(AND(C107="F",M107&lt;O107,SUMIFS(Категории!$Z$5:$Z$11,Категории!$A$5:$A$11,B107)=1),1,0)</f>
        <v>0</v>
      </c>
      <c r="Q107" s="11">
        <f t="shared" si="24"/>
        <v>0</v>
      </c>
      <c r="R107" s="10">
        <f>IF(AND(P107=1,SUMIFS(Категории!$AA$5:$AA$11,Категории!$A$5:$A$11,B107)&gt;0),Q107/SUMIFS(Категории!$AA$5:$AA$11,Категории!$A$5:$A$11,B107),0)</f>
        <v>0</v>
      </c>
      <c r="S107" s="11">
        <f>R107*SUMIFS(Категории!$AB$5:$AB$11,Категории!$A$5:$A$11,B107)</f>
        <v>0</v>
      </c>
      <c r="T107" s="11">
        <f t="shared" si="25"/>
        <v>0</v>
      </c>
      <c r="U107" s="11">
        <f t="shared" si="26"/>
        <v>0</v>
      </c>
      <c r="V107" s="11">
        <f t="shared" si="27"/>
        <v>0</v>
      </c>
      <c r="W107" s="12">
        <f>IF(AND(C107="F",M107&lt;O107,SUMIFS(Категории!$AH$5:$AH$11,Категории!$A$5:$A$11,B107)=1),1,0)</f>
        <v>0</v>
      </c>
      <c r="X107" s="11">
        <f t="shared" si="28"/>
        <v>0</v>
      </c>
      <c r="Y107" s="10">
        <f>IF(AND(W107=1,SUMIFS(Категории!$AI$5:$AI$11,Категории!$A$5:$A$11,B107)&gt;0),X107/SUMIFS(Категории!$AI$5:$AI$11,Категории!$A$5:$A$11,B107),0)</f>
        <v>0</v>
      </c>
      <c r="Z107" s="11">
        <f>Y107*SUMIFS(Категории!$AJ$5:$AJ$11,Категории!$A$5:$A$11,B107)</f>
        <v>0</v>
      </c>
      <c r="AA107" s="11">
        <f t="shared" si="29"/>
        <v>0</v>
      </c>
      <c r="AB107" s="11">
        <f t="shared" si="30"/>
        <v>0</v>
      </c>
      <c r="AC107" s="11">
        <f t="shared" si="31"/>
        <v>0</v>
      </c>
      <c r="AD107" s="12">
        <f t="shared" si="32"/>
        <v>17</v>
      </c>
      <c r="AE107" s="12">
        <f t="shared" si="33"/>
        <v>26</v>
      </c>
      <c r="AF107" s="12">
        <f t="shared" si="34"/>
        <v>6</v>
      </c>
      <c r="AG107" s="12">
        <f t="shared" si="35"/>
        <v>12</v>
      </c>
    </row>
    <row r="108" spans="1:33" x14ac:dyDescent="0.3">
      <c r="A108" s="8" t="s">
        <v>168</v>
      </c>
      <c r="B108" s="8" t="s">
        <v>155</v>
      </c>
      <c r="C108" s="8" t="s">
        <v>61</v>
      </c>
      <c r="D108" s="9">
        <v>2008357.07</v>
      </c>
      <c r="E108" s="9">
        <v>166391.26999999999</v>
      </c>
      <c r="F108" s="8">
        <v>5.5</v>
      </c>
      <c r="G108" s="8">
        <v>7</v>
      </c>
      <c r="H108" s="8">
        <v>1</v>
      </c>
      <c r="I108" s="8">
        <v>12</v>
      </c>
      <c r="J108" s="10">
        <f t="shared" si="18"/>
        <v>1</v>
      </c>
      <c r="K108" s="11">
        <f t="shared" si="19"/>
        <v>2008357.07</v>
      </c>
      <c r="L108" s="11">
        <f t="shared" si="20"/>
        <v>166391.26999999999</v>
      </c>
      <c r="M108" s="11">
        <f t="shared" si="21"/>
        <v>2174748.34</v>
      </c>
      <c r="N108" s="11">
        <f t="shared" si="22"/>
        <v>2174748.34</v>
      </c>
      <c r="O108" s="11">
        <f t="shared" si="23"/>
        <v>3024133.6550000003</v>
      </c>
      <c r="P108" s="12">
        <f>IF(AND(C108="F",M108&lt;O108,SUMIFS(Категории!$Z$5:$Z$11,Категории!$A$5:$A$11,B108)=1),1,0)</f>
        <v>0</v>
      </c>
      <c r="Q108" s="11">
        <f t="shared" si="24"/>
        <v>0</v>
      </c>
      <c r="R108" s="10">
        <f>IF(AND(P108=1,SUMIFS(Категории!$AA$5:$AA$11,Категории!$A$5:$A$11,B108)&gt;0),Q108/SUMIFS(Категории!$AA$5:$AA$11,Категории!$A$5:$A$11,B108),0)</f>
        <v>0</v>
      </c>
      <c r="S108" s="11">
        <f>R108*SUMIFS(Категории!$AB$5:$AB$11,Категории!$A$5:$A$11,B108)</f>
        <v>0</v>
      </c>
      <c r="T108" s="11">
        <f t="shared" si="25"/>
        <v>0</v>
      </c>
      <c r="U108" s="11">
        <f t="shared" si="26"/>
        <v>0</v>
      </c>
      <c r="V108" s="11">
        <f t="shared" si="27"/>
        <v>0</v>
      </c>
      <c r="W108" s="12">
        <f>IF(AND(C108="F",M108&lt;O108,SUMIFS(Категории!$AH$5:$AH$11,Категории!$A$5:$A$11,B108)=1),1,0)</f>
        <v>0</v>
      </c>
      <c r="X108" s="11">
        <f t="shared" si="28"/>
        <v>0</v>
      </c>
      <c r="Y108" s="10">
        <f>IF(AND(W108=1,SUMIFS(Категории!$AI$5:$AI$11,Категории!$A$5:$A$11,B108)&gt;0),X108/SUMIFS(Категории!$AI$5:$AI$11,Категории!$A$5:$A$11,B108),0)</f>
        <v>0</v>
      </c>
      <c r="Z108" s="11">
        <f>Y108*SUMIFS(Категории!$AJ$5:$AJ$11,Категории!$A$5:$A$11,B108)</f>
        <v>0</v>
      </c>
      <c r="AA108" s="11">
        <f t="shared" si="29"/>
        <v>0</v>
      </c>
      <c r="AB108" s="11">
        <f t="shared" si="30"/>
        <v>0</v>
      </c>
      <c r="AC108" s="11">
        <f t="shared" si="31"/>
        <v>0</v>
      </c>
      <c r="AD108" s="12">
        <f t="shared" si="32"/>
        <v>1</v>
      </c>
      <c r="AE108" s="12">
        <f t="shared" si="33"/>
        <v>26</v>
      </c>
      <c r="AF108" s="12">
        <f t="shared" si="34"/>
        <v>1</v>
      </c>
      <c r="AG108" s="12">
        <f t="shared" si="35"/>
        <v>14</v>
      </c>
    </row>
    <row r="109" spans="1:33" x14ac:dyDescent="0.3">
      <c r="A109" s="8" t="s">
        <v>169</v>
      </c>
      <c r="B109" s="8" t="s">
        <v>155</v>
      </c>
      <c r="C109" s="8" t="s">
        <v>66</v>
      </c>
      <c r="D109" s="9">
        <v>3079764.7</v>
      </c>
      <c r="E109" s="9">
        <v>305873.84000000003</v>
      </c>
      <c r="F109" s="8">
        <v>8.9</v>
      </c>
      <c r="G109" s="8">
        <v>10</v>
      </c>
      <c r="H109" s="8">
        <v>1</v>
      </c>
      <c r="I109" s="8">
        <v>12</v>
      </c>
      <c r="J109" s="10">
        <f t="shared" si="18"/>
        <v>1</v>
      </c>
      <c r="K109" s="11">
        <f t="shared" si="19"/>
        <v>3079764.7</v>
      </c>
      <c r="L109" s="11">
        <f t="shared" si="20"/>
        <v>305873.84000000003</v>
      </c>
      <c r="M109" s="11">
        <f t="shared" si="21"/>
        <v>3385638.54</v>
      </c>
      <c r="N109" s="11">
        <f t="shared" si="22"/>
        <v>3385638.54</v>
      </c>
      <c r="O109" s="11">
        <f t="shared" si="23"/>
        <v>3024133.6550000003</v>
      </c>
      <c r="P109" s="12">
        <f>IF(AND(C109="F",M109&lt;O109,SUMIFS(Категории!$Z$5:$Z$11,Категории!$A$5:$A$11,B109)=1),1,0)</f>
        <v>0</v>
      </c>
      <c r="Q109" s="11">
        <f t="shared" si="24"/>
        <v>0</v>
      </c>
      <c r="R109" s="10">
        <f>IF(AND(P109=1,SUMIFS(Категории!$AA$5:$AA$11,Категории!$A$5:$A$11,B109)&gt;0),Q109/SUMIFS(Категории!$AA$5:$AA$11,Категории!$A$5:$A$11,B109),0)</f>
        <v>0</v>
      </c>
      <c r="S109" s="11">
        <f>R109*SUMIFS(Категории!$AB$5:$AB$11,Категории!$A$5:$A$11,B109)</f>
        <v>0</v>
      </c>
      <c r="T109" s="11">
        <f t="shared" si="25"/>
        <v>0</v>
      </c>
      <c r="U109" s="11">
        <f t="shared" si="26"/>
        <v>0</v>
      </c>
      <c r="V109" s="11">
        <f t="shared" si="27"/>
        <v>0</v>
      </c>
      <c r="W109" s="12">
        <f>IF(AND(C109="F",M109&lt;O109,SUMIFS(Категории!$AH$5:$AH$11,Категории!$A$5:$A$11,B109)=1),1,0)</f>
        <v>0</v>
      </c>
      <c r="X109" s="11">
        <f t="shared" si="28"/>
        <v>0</v>
      </c>
      <c r="Y109" s="10">
        <f>IF(AND(W109=1,SUMIFS(Категории!$AI$5:$AI$11,Категории!$A$5:$A$11,B109)&gt;0),X109/SUMIFS(Категории!$AI$5:$AI$11,Категории!$A$5:$A$11,B109),0)</f>
        <v>0</v>
      </c>
      <c r="Z109" s="11">
        <f>Y109*SUMIFS(Категории!$AJ$5:$AJ$11,Категории!$A$5:$A$11,B109)</f>
        <v>0</v>
      </c>
      <c r="AA109" s="11">
        <f t="shared" si="29"/>
        <v>0</v>
      </c>
      <c r="AB109" s="11">
        <f t="shared" si="30"/>
        <v>0</v>
      </c>
      <c r="AC109" s="11">
        <f t="shared" si="31"/>
        <v>0</v>
      </c>
      <c r="AD109" s="12">
        <f t="shared" si="32"/>
        <v>22</v>
      </c>
      <c r="AE109" s="12">
        <f t="shared" si="33"/>
        <v>26</v>
      </c>
      <c r="AF109" s="12">
        <f t="shared" si="34"/>
        <v>9</v>
      </c>
      <c r="AG109" s="12">
        <f t="shared" si="35"/>
        <v>12</v>
      </c>
    </row>
    <row r="110" spans="1:33" x14ac:dyDescent="0.3">
      <c r="A110" s="8" t="s">
        <v>170</v>
      </c>
      <c r="B110" s="8" t="s">
        <v>155</v>
      </c>
      <c r="C110" s="8" t="s">
        <v>66</v>
      </c>
      <c r="D110" s="9">
        <v>3245594.35</v>
      </c>
      <c r="E110" s="9">
        <v>250051.52</v>
      </c>
      <c r="F110" s="8">
        <v>12.1</v>
      </c>
      <c r="G110" s="8">
        <v>10</v>
      </c>
      <c r="H110" s="8">
        <v>1</v>
      </c>
      <c r="I110" s="8">
        <v>12</v>
      </c>
      <c r="J110" s="10">
        <f t="shared" si="18"/>
        <v>1</v>
      </c>
      <c r="K110" s="11">
        <f t="shared" si="19"/>
        <v>3245594.35</v>
      </c>
      <c r="L110" s="11">
        <f t="shared" si="20"/>
        <v>250051.52</v>
      </c>
      <c r="M110" s="11">
        <f t="shared" si="21"/>
        <v>3495645.87</v>
      </c>
      <c r="N110" s="11">
        <f t="shared" si="22"/>
        <v>3495645.87</v>
      </c>
      <c r="O110" s="11">
        <f t="shared" si="23"/>
        <v>3024133.6550000003</v>
      </c>
      <c r="P110" s="12">
        <f>IF(AND(C110="F",M110&lt;O110,SUMIFS(Категории!$Z$5:$Z$11,Категории!$A$5:$A$11,B110)=1),1,0)</f>
        <v>0</v>
      </c>
      <c r="Q110" s="11">
        <f t="shared" si="24"/>
        <v>0</v>
      </c>
      <c r="R110" s="10">
        <f>IF(AND(P110=1,SUMIFS(Категории!$AA$5:$AA$11,Категории!$A$5:$A$11,B110)&gt;0),Q110/SUMIFS(Категории!$AA$5:$AA$11,Категории!$A$5:$A$11,B110),0)</f>
        <v>0</v>
      </c>
      <c r="S110" s="11">
        <f>R110*SUMIFS(Категории!$AB$5:$AB$11,Категории!$A$5:$A$11,B110)</f>
        <v>0</v>
      </c>
      <c r="T110" s="11">
        <f t="shared" si="25"/>
        <v>0</v>
      </c>
      <c r="U110" s="11">
        <f t="shared" si="26"/>
        <v>0</v>
      </c>
      <c r="V110" s="11">
        <f t="shared" si="27"/>
        <v>0</v>
      </c>
      <c r="W110" s="12">
        <f>IF(AND(C110="F",M110&lt;O110,SUMIFS(Категории!$AH$5:$AH$11,Категории!$A$5:$A$11,B110)=1),1,0)</f>
        <v>0</v>
      </c>
      <c r="X110" s="11">
        <f t="shared" si="28"/>
        <v>0</v>
      </c>
      <c r="Y110" s="10">
        <f>IF(AND(W110=1,SUMIFS(Категории!$AI$5:$AI$11,Категории!$A$5:$A$11,B110)&gt;0),X110/SUMIFS(Категории!$AI$5:$AI$11,Категории!$A$5:$A$11,B110),0)</f>
        <v>0</v>
      </c>
      <c r="Z110" s="11">
        <f>Y110*SUMIFS(Категории!$AJ$5:$AJ$11,Категории!$A$5:$A$11,B110)</f>
        <v>0</v>
      </c>
      <c r="AA110" s="11">
        <f t="shared" si="29"/>
        <v>0</v>
      </c>
      <c r="AB110" s="11">
        <f t="shared" si="30"/>
        <v>0</v>
      </c>
      <c r="AC110" s="11">
        <f t="shared" si="31"/>
        <v>0</v>
      </c>
      <c r="AD110" s="12">
        <f t="shared" si="32"/>
        <v>23</v>
      </c>
      <c r="AE110" s="12">
        <f t="shared" si="33"/>
        <v>26</v>
      </c>
      <c r="AF110" s="12">
        <f t="shared" si="34"/>
        <v>10</v>
      </c>
      <c r="AG110" s="12">
        <f t="shared" si="35"/>
        <v>12</v>
      </c>
    </row>
    <row r="111" spans="1:33" x14ac:dyDescent="0.3">
      <c r="A111" s="8" t="s">
        <v>171</v>
      </c>
      <c r="B111" s="8" t="s">
        <v>155</v>
      </c>
      <c r="C111" s="8" t="s">
        <v>66</v>
      </c>
      <c r="D111" s="9">
        <v>2302072.73</v>
      </c>
      <c r="E111" s="9">
        <v>182900.22</v>
      </c>
      <c r="F111" s="8">
        <v>7.9</v>
      </c>
      <c r="G111" s="8">
        <v>7</v>
      </c>
      <c r="H111" s="8">
        <v>1</v>
      </c>
      <c r="I111" s="8">
        <v>12</v>
      </c>
      <c r="J111" s="10">
        <f t="shared" si="18"/>
        <v>1</v>
      </c>
      <c r="K111" s="11">
        <f t="shared" si="19"/>
        <v>2302072.73</v>
      </c>
      <c r="L111" s="11">
        <f t="shared" si="20"/>
        <v>182900.22</v>
      </c>
      <c r="M111" s="11">
        <f t="shared" si="21"/>
        <v>2484972.9500000002</v>
      </c>
      <c r="N111" s="11">
        <f t="shared" si="22"/>
        <v>2484972.9500000002</v>
      </c>
      <c r="O111" s="11">
        <f t="shared" si="23"/>
        <v>3024133.6550000003</v>
      </c>
      <c r="P111" s="12">
        <f>IF(AND(C111="F",M111&lt;O111,SUMIFS(Категории!$Z$5:$Z$11,Категории!$A$5:$A$11,B111)=1),1,0)</f>
        <v>0</v>
      </c>
      <c r="Q111" s="11">
        <f t="shared" si="24"/>
        <v>0</v>
      </c>
      <c r="R111" s="10">
        <f>IF(AND(P111=1,SUMIFS(Категории!$AA$5:$AA$11,Категории!$A$5:$A$11,B111)&gt;0),Q111/SUMIFS(Категории!$AA$5:$AA$11,Категории!$A$5:$A$11,B111),0)</f>
        <v>0</v>
      </c>
      <c r="S111" s="11">
        <f>R111*SUMIFS(Категории!$AB$5:$AB$11,Категории!$A$5:$A$11,B111)</f>
        <v>0</v>
      </c>
      <c r="T111" s="11">
        <f t="shared" si="25"/>
        <v>0</v>
      </c>
      <c r="U111" s="11">
        <f t="shared" si="26"/>
        <v>0</v>
      </c>
      <c r="V111" s="11">
        <f t="shared" si="27"/>
        <v>0</v>
      </c>
      <c r="W111" s="12">
        <f>IF(AND(C111="F",M111&lt;O111,SUMIFS(Категории!$AH$5:$AH$11,Категории!$A$5:$A$11,B111)=1),1,0)</f>
        <v>0</v>
      </c>
      <c r="X111" s="11">
        <f t="shared" si="28"/>
        <v>0</v>
      </c>
      <c r="Y111" s="10">
        <f>IF(AND(W111=1,SUMIFS(Категории!$AI$5:$AI$11,Категории!$A$5:$A$11,B111)&gt;0),X111/SUMIFS(Категории!$AI$5:$AI$11,Категории!$A$5:$A$11,B111),0)</f>
        <v>0</v>
      </c>
      <c r="Z111" s="11">
        <f>Y111*SUMIFS(Категории!$AJ$5:$AJ$11,Категории!$A$5:$A$11,B111)</f>
        <v>0</v>
      </c>
      <c r="AA111" s="11">
        <f t="shared" si="29"/>
        <v>0</v>
      </c>
      <c r="AB111" s="11">
        <f t="shared" si="30"/>
        <v>0</v>
      </c>
      <c r="AC111" s="11">
        <f t="shared" si="31"/>
        <v>0</v>
      </c>
      <c r="AD111" s="12">
        <f t="shared" si="32"/>
        <v>8</v>
      </c>
      <c r="AE111" s="12">
        <f t="shared" si="33"/>
        <v>26</v>
      </c>
      <c r="AF111" s="12">
        <f t="shared" si="34"/>
        <v>2</v>
      </c>
      <c r="AG111" s="12">
        <f t="shared" si="35"/>
        <v>12</v>
      </c>
    </row>
    <row r="112" spans="1:33" x14ac:dyDescent="0.3">
      <c r="A112" s="8" t="s">
        <v>172</v>
      </c>
      <c r="B112" s="8" t="s">
        <v>155</v>
      </c>
      <c r="C112" s="8" t="s">
        <v>66</v>
      </c>
      <c r="D112" s="9">
        <v>2113066.98</v>
      </c>
      <c r="E112" s="9">
        <v>262856.03000000003</v>
      </c>
      <c r="F112" s="8">
        <v>4.0999999999999996</v>
      </c>
      <c r="G112" s="8">
        <v>6</v>
      </c>
      <c r="H112" s="8">
        <v>1</v>
      </c>
      <c r="I112" s="8">
        <v>12</v>
      </c>
      <c r="J112" s="10">
        <f t="shared" si="18"/>
        <v>1</v>
      </c>
      <c r="K112" s="11">
        <f t="shared" si="19"/>
        <v>2113066.98</v>
      </c>
      <c r="L112" s="11">
        <f t="shared" si="20"/>
        <v>262856.03000000003</v>
      </c>
      <c r="M112" s="11">
        <f t="shared" si="21"/>
        <v>2375923.0099999998</v>
      </c>
      <c r="N112" s="11">
        <f t="shared" si="22"/>
        <v>2375923.0099999998</v>
      </c>
      <c r="O112" s="11">
        <f t="shared" si="23"/>
        <v>3024133.6550000003</v>
      </c>
      <c r="P112" s="12">
        <f>IF(AND(C112="F",M112&lt;O112,SUMIFS(Категории!$Z$5:$Z$11,Категории!$A$5:$A$11,B112)=1),1,0)</f>
        <v>0</v>
      </c>
      <c r="Q112" s="11">
        <f t="shared" si="24"/>
        <v>0</v>
      </c>
      <c r="R112" s="10">
        <f>IF(AND(P112=1,SUMIFS(Категории!$AA$5:$AA$11,Категории!$A$5:$A$11,B112)&gt;0),Q112/SUMIFS(Категории!$AA$5:$AA$11,Категории!$A$5:$A$11,B112),0)</f>
        <v>0</v>
      </c>
      <c r="S112" s="11">
        <f>R112*SUMIFS(Категории!$AB$5:$AB$11,Категории!$A$5:$A$11,B112)</f>
        <v>0</v>
      </c>
      <c r="T112" s="11">
        <f t="shared" si="25"/>
        <v>0</v>
      </c>
      <c r="U112" s="11">
        <f t="shared" si="26"/>
        <v>0</v>
      </c>
      <c r="V112" s="11">
        <f t="shared" si="27"/>
        <v>0</v>
      </c>
      <c r="W112" s="12">
        <f>IF(AND(C112="F",M112&lt;O112,SUMIFS(Категории!$AH$5:$AH$11,Категории!$A$5:$A$11,B112)=1),1,0)</f>
        <v>0</v>
      </c>
      <c r="X112" s="11">
        <f t="shared" si="28"/>
        <v>0</v>
      </c>
      <c r="Y112" s="10">
        <f>IF(AND(W112=1,SUMIFS(Категории!$AI$5:$AI$11,Категории!$A$5:$A$11,B112)&gt;0),X112/SUMIFS(Категории!$AI$5:$AI$11,Категории!$A$5:$A$11,B112),0)</f>
        <v>0</v>
      </c>
      <c r="Z112" s="11">
        <f>Y112*SUMIFS(Категории!$AJ$5:$AJ$11,Категории!$A$5:$A$11,B112)</f>
        <v>0</v>
      </c>
      <c r="AA112" s="11">
        <f t="shared" si="29"/>
        <v>0</v>
      </c>
      <c r="AB112" s="11">
        <f t="shared" si="30"/>
        <v>0</v>
      </c>
      <c r="AC112" s="11">
        <f t="shared" si="31"/>
        <v>0</v>
      </c>
      <c r="AD112" s="12">
        <f t="shared" si="32"/>
        <v>6</v>
      </c>
      <c r="AE112" s="12">
        <f t="shared" si="33"/>
        <v>26</v>
      </c>
      <c r="AF112" s="12">
        <f t="shared" si="34"/>
        <v>1</v>
      </c>
      <c r="AG112" s="12">
        <f t="shared" si="35"/>
        <v>12</v>
      </c>
    </row>
    <row r="113" spans="1:33" x14ac:dyDescent="0.3">
      <c r="A113" s="8" t="s">
        <v>173</v>
      </c>
      <c r="B113" s="8" t="s">
        <v>155</v>
      </c>
      <c r="C113" s="8" t="s">
        <v>61</v>
      </c>
      <c r="D113" s="9">
        <v>2099071.4700000002</v>
      </c>
      <c r="E113" s="9">
        <v>258299.51999999999</v>
      </c>
      <c r="F113" s="8">
        <v>5.5</v>
      </c>
      <c r="G113" s="8">
        <v>7</v>
      </c>
      <c r="H113" s="8">
        <v>1</v>
      </c>
      <c r="I113" s="8">
        <v>12</v>
      </c>
      <c r="J113" s="10">
        <f t="shared" si="18"/>
        <v>1</v>
      </c>
      <c r="K113" s="11">
        <f t="shared" si="19"/>
        <v>2099071.4700000002</v>
      </c>
      <c r="L113" s="11">
        <f t="shared" si="20"/>
        <v>258299.51999999999</v>
      </c>
      <c r="M113" s="11">
        <f t="shared" si="21"/>
        <v>2357370.9900000002</v>
      </c>
      <c r="N113" s="11">
        <f t="shared" si="22"/>
        <v>2357370.9900000002</v>
      </c>
      <c r="O113" s="11">
        <f t="shared" si="23"/>
        <v>3024133.6550000003</v>
      </c>
      <c r="P113" s="12">
        <f>IF(AND(C113="F",M113&lt;O113,SUMIFS(Категории!$Z$5:$Z$11,Категории!$A$5:$A$11,B113)=1),1,0)</f>
        <v>0</v>
      </c>
      <c r="Q113" s="11">
        <f t="shared" si="24"/>
        <v>0</v>
      </c>
      <c r="R113" s="10">
        <f>IF(AND(P113=1,SUMIFS(Категории!$AA$5:$AA$11,Категории!$A$5:$A$11,B113)&gt;0),Q113/SUMIFS(Категории!$AA$5:$AA$11,Категории!$A$5:$A$11,B113),0)</f>
        <v>0</v>
      </c>
      <c r="S113" s="11">
        <f>R113*SUMIFS(Категории!$AB$5:$AB$11,Категории!$A$5:$A$11,B113)</f>
        <v>0</v>
      </c>
      <c r="T113" s="11">
        <f t="shared" si="25"/>
        <v>0</v>
      </c>
      <c r="U113" s="11">
        <f t="shared" si="26"/>
        <v>0</v>
      </c>
      <c r="V113" s="11">
        <f t="shared" si="27"/>
        <v>0</v>
      </c>
      <c r="W113" s="12">
        <f>IF(AND(C113="F",M113&lt;O113,SUMIFS(Категории!$AH$5:$AH$11,Категории!$A$5:$A$11,B113)=1),1,0)</f>
        <v>0</v>
      </c>
      <c r="X113" s="11">
        <f t="shared" si="28"/>
        <v>0</v>
      </c>
      <c r="Y113" s="10">
        <f>IF(AND(W113=1,SUMIFS(Категории!$AI$5:$AI$11,Категории!$A$5:$A$11,B113)&gt;0),X113/SUMIFS(Категории!$AI$5:$AI$11,Категории!$A$5:$A$11,B113),0)</f>
        <v>0</v>
      </c>
      <c r="Z113" s="11">
        <f>Y113*SUMIFS(Категории!$AJ$5:$AJ$11,Категории!$A$5:$A$11,B113)</f>
        <v>0</v>
      </c>
      <c r="AA113" s="11">
        <f t="shared" si="29"/>
        <v>0</v>
      </c>
      <c r="AB113" s="11">
        <f t="shared" si="30"/>
        <v>0</v>
      </c>
      <c r="AC113" s="11">
        <f t="shared" si="31"/>
        <v>0</v>
      </c>
      <c r="AD113" s="12">
        <f t="shared" si="32"/>
        <v>5</v>
      </c>
      <c r="AE113" s="12">
        <f t="shared" si="33"/>
        <v>26</v>
      </c>
      <c r="AF113" s="12">
        <f t="shared" si="34"/>
        <v>5</v>
      </c>
      <c r="AG113" s="12">
        <f t="shared" si="35"/>
        <v>14</v>
      </c>
    </row>
    <row r="114" spans="1:33" x14ac:dyDescent="0.3">
      <c r="A114" s="8" t="s">
        <v>174</v>
      </c>
      <c r="B114" s="8" t="s">
        <v>155</v>
      </c>
      <c r="C114" s="8" t="s">
        <v>61</v>
      </c>
      <c r="D114" s="9">
        <v>2092838.8</v>
      </c>
      <c r="E114" s="9">
        <v>228857.77</v>
      </c>
      <c r="F114" s="8">
        <v>7</v>
      </c>
      <c r="G114" s="8">
        <v>7</v>
      </c>
      <c r="H114" s="8">
        <v>1</v>
      </c>
      <c r="I114" s="8">
        <v>12</v>
      </c>
      <c r="J114" s="10">
        <f t="shared" si="18"/>
        <v>1</v>
      </c>
      <c r="K114" s="11">
        <f t="shared" si="19"/>
        <v>2092838.8</v>
      </c>
      <c r="L114" s="11">
        <f t="shared" si="20"/>
        <v>228857.77</v>
      </c>
      <c r="M114" s="11">
        <f t="shared" si="21"/>
        <v>2321696.5699999998</v>
      </c>
      <c r="N114" s="11">
        <f t="shared" si="22"/>
        <v>2321696.5699999998</v>
      </c>
      <c r="O114" s="11">
        <f t="shared" si="23"/>
        <v>3024133.6550000003</v>
      </c>
      <c r="P114" s="12">
        <f>IF(AND(C114="F",M114&lt;O114,SUMIFS(Категории!$Z$5:$Z$11,Категории!$A$5:$A$11,B114)=1),1,0)</f>
        <v>0</v>
      </c>
      <c r="Q114" s="11">
        <f t="shared" si="24"/>
        <v>0</v>
      </c>
      <c r="R114" s="10">
        <f>IF(AND(P114=1,SUMIFS(Категории!$AA$5:$AA$11,Категории!$A$5:$A$11,B114)&gt;0),Q114/SUMIFS(Категории!$AA$5:$AA$11,Категории!$A$5:$A$11,B114),0)</f>
        <v>0</v>
      </c>
      <c r="S114" s="11">
        <f>R114*SUMIFS(Категории!$AB$5:$AB$11,Категории!$A$5:$A$11,B114)</f>
        <v>0</v>
      </c>
      <c r="T114" s="11">
        <f t="shared" si="25"/>
        <v>0</v>
      </c>
      <c r="U114" s="11">
        <f t="shared" si="26"/>
        <v>0</v>
      </c>
      <c r="V114" s="11">
        <f t="shared" si="27"/>
        <v>0</v>
      </c>
      <c r="W114" s="12">
        <f>IF(AND(C114="F",M114&lt;O114,SUMIFS(Категории!$AH$5:$AH$11,Категории!$A$5:$A$11,B114)=1),1,0)</f>
        <v>0</v>
      </c>
      <c r="X114" s="11">
        <f t="shared" si="28"/>
        <v>0</v>
      </c>
      <c r="Y114" s="10">
        <f>IF(AND(W114=1,SUMIFS(Категории!$AI$5:$AI$11,Категории!$A$5:$A$11,B114)&gt;0),X114/SUMIFS(Категории!$AI$5:$AI$11,Категории!$A$5:$A$11,B114),0)</f>
        <v>0</v>
      </c>
      <c r="Z114" s="11">
        <f>Y114*SUMIFS(Категории!$AJ$5:$AJ$11,Категории!$A$5:$A$11,B114)</f>
        <v>0</v>
      </c>
      <c r="AA114" s="11">
        <f t="shared" si="29"/>
        <v>0</v>
      </c>
      <c r="AB114" s="11">
        <f t="shared" si="30"/>
        <v>0</v>
      </c>
      <c r="AC114" s="11">
        <f t="shared" si="31"/>
        <v>0</v>
      </c>
      <c r="AD114" s="12">
        <f t="shared" si="32"/>
        <v>4</v>
      </c>
      <c r="AE114" s="12">
        <f t="shared" si="33"/>
        <v>26</v>
      </c>
      <c r="AF114" s="12">
        <f t="shared" si="34"/>
        <v>4</v>
      </c>
      <c r="AG114" s="12">
        <f t="shared" si="35"/>
        <v>14</v>
      </c>
    </row>
    <row r="115" spans="1:33" x14ac:dyDescent="0.3">
      <c r="A115" s="8" t="s">
        <v>175</v>
      </c>
      <c r="B115" s="8" t="s">
        <v>155</v>
      </c>
      <c r="C115" s="8" t="s">
        <v>66</v>
      </c>
      <c r="D115" s="9">
        <v>900173.29</v>
      </c>
      <c r="E115" s="9">
        <v>104174.6</v>
      </c>
      <c r="F115" s="8">
        <v>8.1999999999999993</v>
      </c>
      <c r="G115" s="8">
        <v>9</v>
      </c>
      <c r="H115" s="8">
        <v>1</v>
      </c>
      <c r="I115" s="8">
        <v>4</v>
      </c>
      <c r="J115" s="10">
        <f t="shared" si="18"/>
        <v>0.33333333333333331</v>
      </c>
      <c r="K115" s="11">
        <f t="shared" si="19"/>
        <v>2700519.87</v>
      </c>
      <c r="L115" s="11">
        <f t="shared" si="20"/>
        <v>312523.80000000005</v>
      </c>
      <c r="M115" s="11">
        <f t="shared" si="21"/>
        <v>3013043.67</v>
      </c>
      <c r="N115" s="11">
        <f t="shared" si="22"/>
        <v>1004347.89</v>
      </c>
      <c r="O115" s="11">
        <f t="shared" si="23"/>
        <v>3024133.6550000003</v>
      </c>
      <c r="P115" s="12">
        <f>IF(AND(C115="F",M115&lt;O115,SUMIFS(Категории!$Z$5:$Z$11,Категории!$A$5:$A$11,B115)=1),1,0)</f>
        <v>0</v>
      </c>
      <c r="Q115" s="11">
        <f t="shared" si="24"/>
        <v>0</v>
      </c>
      <c r="R115" s="10">
        <f>IF(AND(P115=1,SUMIFS(Категории!$AA$5:$AA$11,Категории!$A$5:$A$11,B115)&gt;0),Q115/SUMIFS(Категории!$AA$5:$AA$11,Категории!$A$5:$A$11,B115),0)</f>
        <v>0</v>
      </c>
      <c r="S115" s="11">
        <f>R115*SUMIFS(Категории!$AB$5:$AB$11,Категории!$A$5:$A$11,B115)</f>
        <v>0</v>
      </c>
      <c r="T115" s="11">
        <f t="shared" si="25"/>
        <v>0</v>
      </c>
      <c r="U115" s="11">
        <f t="shared" si="26"/>
        <v>0</v>
      </c>
      <c r="V115" s="11">
        <f t="shared" si="27"/>
        <v>0</v>
      </c>
      <c r="W115" s="12">
        <f>IF(AND(C115="F",M115&lt;O115,SUMIFS(Категории!$AH$5:$AH$11,Категории!$A$5:$A$11,B115)=1),1,0)</f>
        <v>0</v>
      </c>
      <c r="X115" s="11">
        <f t="shared" si="28"/>
        <v>0</v>
      </c>
      <c r="Y115" s="10">
        <f>IF(AND(W115=1,SUMIFS(Категории!$AI$5:$AI$11,Категории!$A$5:$A$11,B115)&gt;0),X115/SUMIFS(Категории!$AI$5:$AI$11,Категории!$A$5:$A$11,B115),0)</f>
        <v>0</v>
      </c>
      <c r="Z115" s="11">
        <f>Y115*SUMIFS(Категории!$AJ$5:$AJ$11,Категории!$A$5:$A$11,B115)</f>
        <v>0</v>
      </c>
      <c r="AA115" s="11">
        <f t="shared" si="29"/>
        <v>0</v>
      </c>
      <c r="AB115" s="11">
        <f t="shared" si="30"/>
        <v>0</v>
      </c>
      <c r="AC115" s="11">
        <f t="shared" si="31"/>
        <v>0</v>
      </c>
      <c r="AD115" s="12">
        <f t="shared" si="32"/>
        <v>12</v>
      </c>
      <c r="AE115" s="12">
        <f t="shared" si="33"/>
        <v>26</v>
      </c>
      <c r="AF115" s="12">
        <f t="shared" si="34"/>
        <v>4</v>
      </c>
      <c r="AG115" s="12">
        <f t="shared" si="35"/>
        <v>12</v>
      </c>
    </row>
    <row r="116" spans="1:33" x14ac:dyDescent="0.3">
      <c r="A116" s="8" t="s">
        <v>176</v>
      </c>
      <c r="B116" s="8" t="s">
        <v>155</v>
      </c>
      <c r="C116" s="8" t="s">
        <v>61</v>
      </c>
      <c r="D116" s="9">
        <v>2128661.52</v>
      </c>
      <c r="E116" s="9">
        <v>165646.51</v>
      </c>
      <c r="F116" s="8">
        <v>4.9000000000000004</v>
      </c>
      <c r="G116" s="8">
        <v>7</v>
      </c>
      <c r="H116" s="8">
        <v>1</v>
      </c>
      <c r="I116" s="8">
        <v>12</v>
      </c>
      <c r="J116" s="10">
        <f t="shared" si="18"/>
        <v>1</v>
      </c>
      <c r="K116" s="11">
        <f t="shared" si="19"/>
        <v>2128661.52</v>
      </c>
      <c r="L116" s="11">
        <f t="shared" si="20"/>
        <v>165646.51</v>
      </c>
      <c r="M116" s="11">
        <f t="shared" si="21"/>
        <v>2294308.0300000003</v>
      </c>
      <c r="N116" s="11">
        <f t="shared" si="22"/>
        <v>2294308.0300000003</v>
      </c>
      <c r="O116" s="11">
        <f t="shared" si="23"/>
        <v>3024133.6550000003</v>
      </c>
      <c r="P116" s="12">
        <f>IF(AND(C116="F",M116&lt;O116,SUMIFS(Категории!$Z$5:$Z$11,Категории!$A$5:$A$11,B116)=1),1,0)</f>
        <v>0</v>
      </c>
      <c r="Q116" s="11">
        <f t="shared" si="24"/>
        <v>0</v>
      </c>
      <c r="R116" s="10">
        <f>IF(AND(P116=1,SUMIFS(Категории!$AA$5:$AA$11,Категории!$A$5:$A$11,B116)&gt;0),Q116/SUMIFS(Категории!$AA$5:$AA$11,Категории!$A$5:$A$11,B116),0)</f>
        <v>0</v>
      </c>
      <c r="S116" s="11">
        <f>R116*SUMIFS(Категории!$AB$5:$AB$11,Категории!$A$5:$A$11,B116)</f>
        <v>0</v>
      </c>
      <c r="T116" s="11">
        <f t="shared" si="25"/>
        <v>0</v>
      </c>
      <c r="U116" s="11">
        <f t="shared" si="26"/>
        <v>0</v>
      </c>
      <c r="V116" s="11">
        <f t="shared" si="27"/>
        <v>0</v>
      </c>
      <c r="W116" s="12">
        <f>IF(AND(C116="F",M116&lt;O116,SUMIFS(Категории!$AH$5:$AH$11,Категории!$A$5:$A$11,B116)=1),1,0)</f>
        <v>0</v>
      </c>
      <c r="X116" s="11">
        <f t="shared" si="28"/>
        <v>0</v>
      </c>
      <c r="Y116" s="10">
        <f>IF(AND(W116=1,SUMIFS(Категории!$AI$5:$AI$11,Категории!$A$5:$A$11,B116)&gt;0),X116/SUMIFS(Категории!$AI$5:$AI$11,Категории!$A$5:$A$11,B116),0)</f>
        <v>0</v>
      </c>
      <c r="Z116" s="11">
        <f>Y116*SUMIFS(Категории!$AJ$5:$AJ$11,Категории!$A$5:$A$11,B116)</f>
        <v>0</v>
      </c>
      <c r="AA116" s="11">
        <f t="shared" si="29"/>
        <v>0</v>
      </c>
      <c r="AB116" s="11">
        <f t="shared" si="30"/>
        <v>0</v>
      </c>
      <c r="AC116" s="11">
        <f t="shared" si="31"/>
        <v>0</v>
      </c>
      <c r="AD116" s="12">
        <f t="shared" si="32"/>
        <v>3</v>
      </c>
      <c r="AE116" s="12">
        <f t="shared" si="33"/>
        <v>26</v>
      </c>
      <c r="AF116" s="12">
        <f t="shared" si="34"/>
        <v>3</v>
      </c>
      <c r="AG116" s="12">
        <f t="shared" si="35"/>
        <v>14</v>
      </c>
    </row>
    <row r="117" spans="1:33" x14ac:dyDescent="0.3">
      <c r="A117" s="8" t="s">
        <v>177</v>
      </c>
      <c r="B117" s="8" t="s">
        <v>155</v>
      </c>
      <c r="C117" s="8" t="s">
        <v>61</v>
      </c>
      <c r="D117" s="9">
        <v>2375243.16</v>
      </c>
      <c r="E117" s="9">
        <v>278918.05</v>
      </c>
      <c r="F117" s="8">
        <v>5.9</v>
      </c>
      <c r="G117" s="8">
        <v>8</v>
      </c>
      <c r="H117" s="8">
        <v>1</v>
      </c>
      <c r="I117" s="8">
        <v>12</v>
      </c>
      <c r="J117" s="10">
        <f t="shared" si="18"/>
        <v>1</v>
      </c>
      <c r="K117" s="11">
        <f t="shared" si="19"/>
        <v>2375243.16</v>
      </c>
      <c r="L117" s="11">
        <f t="shared" si="20"/>
        <v>278918.05</v>
      </c>
      <c r="M117" s="11">
        <f t="shared" si="21"/>
        <v>2654161.21</v>
      </c>
      <c r="N117" s="11">
        <f t="shared" si="22"/>
        <v>2654161.21</v>
      </c>
      <c r="O117" s="11">
        <f t="shared" si="23"/>
        <v>3024133.6550000003</v>
      </c>
      <c r="P117" s="12">
        <f>IF(AND(C117="F",M117&lt;O117,SUMIFS(Категории!$Z$5:$Z$11,Категории!$A$5:$A$11,B117)=1),1,0)</f>
        <v>0</v>
      </c>
      <c r="Q117" s="11">
        <f t="shared" si="24"/>
        <v>0</v>
      </c>
      <c r="R117" s="10">
        <f>IF(AND(P117=1,SUMIFS(Категории!$AA$5:$AA$11,Категории!$A$5:$A$11,B117)&gt;0),Q117/SUMIFS(Категории!$AA$5:$AA$11,Категории!$A$5:$A$11,B117),0)</f>
        <v>0</v>
      </c>
      <c r="S117" s="11">
        <f>R117*SUMIFS(Категории!$AB$5:$AB$11,Категории!$A$5:$A$11,B117)</f>
        <v>0</v>
      </c>
      <c r="T117" s="11">
        <f t="shared" si="25"/>
        <v>0</v>
      </c>
      <c r="U117" s="11">
        <f t="shared" si="26"/>
        <v>0</v>
      </c>
      <c r="V117" s="11">
        <f t="shared" si="27"/>
        <v>0</v>
      </c>
      <c r="W117" s="12">
        <f>IF(AND(C117="F",M117&lt;O117,SUMIFS(Категории!$AH$5:$AH$11,Категории!$A$5:$A$11,B117)=1),1,0)</f>
        <v>0</v>
      </c>
      <c r="X117" s="11">
        <f t="shared" si="28"/>
        <v>0</v>
      </c>
      <c r="Y117" s="10">
        <f>IF(AND(W117=1,SUMIFS(Категории!$AI$5:$AI$11,Категории!$A$5:$A$11,B117)&gt;0),X117/SUMIFS(Категории!$AI$5:$AI$11,Категории!$A$5:$A$11,B117),0)</f>
        <v>0</v>
      </c>
      <c r="Z117" s="11">
        <f>Y117*SUMIFS(Категории!$AJ$5:$AJ$11,Категории!$A$5:$A$11,B117)</f>
        <v>0</v>
      </c>
      <c r="AA117" s="11">
        <f t="shared" si="29"/>
        <v>0</v>
      </c>
      <c r="AB117" s="11">
        <f t="shared" si="30"/>
        <v>0</v>
      </c>
      <c r="AC117" s="11">
        <f t="shared" si="31"/>
        <v>0</v>
      </c>
      <c r="AD117" s="12">
        <f t="shared" si="32"/>
        <v>9</v>
      </c>
      <c r="AE117" s="12">
        <f t="shared" si="33"/>
        <v>26</v>
      </c>
      <c r="AF117" s="12">
        <f t="shared" si="34"/>
        <v>7</v>
      </c>
      <c r="AG117" s="12">
        <f t="shared" si="35"/>
        <v>14</v>
      </c>
    </row>
    <row r="118" spans="1:33" x14ac:dyDescent="0.3">
      <c r="A118" s="8" t="s">
        <v>178</v>
      </c>
      <c r="B118" s="8" t="s">
        <v>155</v>
      </c>
      <c r="C118" s="8" t="s">
        <v>61</v>
      </c>
      <c r="D118" s="9">
        <v>2056903.45</v>
      </c>
      <c r="E118" s="9">
        <v>206776.38</v>
      </c>
      <c r="F118" s="8">
        <v>2.2000000000000002</v>
      </c>
      <c r="G118" s="8">
        <v>7</v>
      </c>
      <c r="H118" s="8">
        <v>1</v>
      </c>
      <c r="I118" s="8">
        <v>12</v>
      </c>
      <c r="J118" s="10">
        <f t="shared" si="18"/>
        <v>1</v>
      </c>
      <c r="K118" s="11">
        <f t="shared" si="19"/>
        <v>2056903.45</v>
      </c>
      <c r="L118" s="11">
        <f t="shared" si="20"/>
        <v>206776.38</v>
      </c>
      <c r="M118" s="11">
        <f t="shared" si="21"/>
        <v>2263679.83</v>
      </c>
      <c r="N118" s="11">
        <f t="shared" si="22"/>
        <v>2263679.83</v>
      </c>
      <c r="O118" s="11">
        <f t="shared" si="23"/>
        <v>3024133.6550000003</v>
      </c>
      <c r="P118" s="12">
        <f>IF(AND(C118="F",M118&lt;O118,SUMIFS(Категории!$Z$5:$Z$11,Категории!$A$5:$A$11,B118)=1),1,0)</f>
        <v>0</v>
      </c>
      <c r="Q118" s="11">
        <f t="shared" si="24"/>
        <v>0</v>
      </c>
      <c r="R118" s="10">
        <f>IF(AND(P118=1,SUMIFS(Категории!$AA$5:$AA$11,Категории!$A$5:$A$11,B118)&gt;0),Q118/SUMIFS(Категории!$AA$5:$AA$11,Категории!$A$5:$A$11,B118),0)</f>
        <v>0</v>
      </c>
      <c r="S118" s="11">
        <f>R118*SUMIFS(Категории!$AB$5:$AB$11,Категории!$A$5:$A$11,B118)</f>
        <v>0</v>
      </c>
      <c r="T118" s="11">
        <f t="shared" si="25"/>
        <v>0</v>
      </c>
      <c r="U118" s="11">
        <f t="shared" si="26"/>
        <v>0</v>
      </c>
      <c r="V118" s="11">
        <f t="shared" si="27"/>
        <v>0</v>
      </c>
      <c r="W118" s="12">
        <f>IF(AND(C118="F",M118&lt;O118,SUMIFS(Категории!$AH$5:$AH$11,Категории!$A$5:$A$11,B118)=1),1,0)</f>
        <v>0</v>
      </c>
      <c r="X118" s="11">
        <f t="shared" si="28"/>
        <v>0</v>
      </c>
      <c r="Y118" s="10">
        <f>IF(AND(W118=1,SUMIFS(Категории!$AI$5:$AI$11,Категории!$A$5:$A$11,B118)&gt;0),X118/SUMIFS(Категории!$AI$5:$AI$11,Категории!$A$5:$A$11,B118),0)</f>
        <v>0</v>
      </c>
      <c r="Z118" s="11">
        <f>Y118*SUMIFS(Категории!$AJ$5:$AJ$11,Категории!$A$5:$A$11,B118)</f>
        <v>0</v>
      </c>
      <c r="AA118" s="11">
        <f t="shared" si="29"/>
        <v>0</v>
      </c>
      <c r="AB118" s="11">
        <f t="shared" si="30"/>
        <v>0</v>
      </c>
      <c r="AC118" s="11">
        <f t="shared" si="31"/>
        <v>0</v>
      </c>
      <c r="AD118" s="12">
        <f t="shared" si="32"/>
        <v>2</v>
      </c>
      <c r="AE118" s="12">
        <f t="shared" si="33"/>
        <v>26</v>
      </c>
      <c r="AF118" s="12">
        <f t="shared" si="34"/>
        <v>2</v>
      </c>
      <c r="AG118" s="12">
        <f t="shared" si="35"/>
        <v>14</v>
      </c>
    </row>
    <row r="119" spans="1:33" x14ac:dyDescent="0.3">
      <c r="A119" s="8" t="s">
        <v>179</v>
      </c>
      <c r="B119" s="8" t="s">
        <v>155</v>
      </c>
      <c r="C119" s="8" t="s">
        <v>66</v>
      </c>
      <c r="D119" s="9">
        <v>2909012.97</v>
      </c>
      <c r="E119" s="9">
        <v>314722.43</v>
      </c>
      <c r="F119" s="8">
        <v>5.9</v>
      </c>
      <c r="G119" s="8">
        <v>9</v>
      </c>
      <c r="H119" s="8">
        <v>1</v>
      </c>
      <c r="I119" s="8">
        <v>12</v>
      </c>
      <c r="J119" s="10">
        <f t="shared" si="18"/>
        <v>1</v>
      </c>
      <c r="K119" s="11">
        <f t="shared" si="19"/>
        <v>2909012.97</v>
      </c>
      <c r="L119" s="11">
        <f t="shared" si="20"/>
        <v>314722.43</v>
      </c>
      <c r="M119" s="11">
        <f t="shared" si="21"/>
        <v>3223735.4000000004</v>
      </c>
      <c r="N119" s="11">
        <f t="shared" si="22"/>
        <v>3223735.4000000004</v>
      </c>
      <c r="O119" s="11">
        <f t="shared" si="23"/>
        <v>3024133.6550000003</v>
      </c>
      <c r="P119" s="12">
        <f>IF(AND(C119="F",M119&lt;O119,SUMIFS(Категории!$Z$5:$Z$11,Категории!$A$5:$A$11,B119)=1),1,0)</f>
        <v>0</v>
      </c>
      <c r="Q119" s="11">
        <f t="shared" si="24"/>
        <v>0</v>
      </c>
      <c r="R119" s="10">
        <f>IF(AND(P119=1,SUMIFS(Категории!$AA$5:$AA$11,Категории!$A$5:$A$11,B119)&gt;0),Q119/SUMIFS(Категории!$AA$5:$AA$11,Категории!$A$5:$A$11,B119),0)</f>
        <v>0</v>
      </c>
      <c r="S119" s="11">
        <f>R119*SUMIFS(Категории!$AB$5:$AB$11,Категории!$A$5:$A$11,B119)</f>
        <v>0</v>
      </c>
      <c r="T119" s="11">
        <f t="shared" si="25"/>
        <v>0</v>
      </c>
      <c r="U119" s="11">
        <f t="shared" si="26"/>
        <v>0</v>
      </c>
      <c r="V119" s="11">
        <f t="shared" si="27"/>
        <v>0</v>
      </c>
      <c r="W119" s="12">
        <f>IF(AND(C119="F",M119&lt;O119,SUMIFS(Категории!$AH$5:$AH$11,Категории!$A$5:$A$11,B119)=1),1,0)</f>
        <v>0</v>
      </c>
      <c r="X119" s="11">
        <f t="shared" si="28"/>
        <v>0</v>
      </c>
      <c r="Y119" s="10">
        <f>IF(AND(W119=1,SUMIFS(Категории!$AI$5:$AI$11,Категории!$A$5:$A$11,B119)&gt;0),X119/SUMIFS(Категории!$AI$5:$AI$11,Категории!$A$5:$A$11,B119),0)</f>
        <v>0</v>
      </c>
      <c r="Z119" s="11">
        <f>Y119*SUMIFS(Категории!$AJ$5:$AJ$11,Категории!$A$5:$A$11,B119)</f>
        <v>0</v>
      </c>
      <c r="AA119" s="11">
        <f t="shared" si="29"/>
        <v>0</v>
      </c>
      <c r="AB119" s="11">
        <f t="shared" si="30"/>
        <v>0</v>
      </c>
      <c r="AC119" s="11">
        <f t="shared" si="31"/>
        <v>0</v>
      </c>
      <c r="AD119" s="12">
        <f t="shared" si="32"/>
        <v>21</v>
      </c>
      <c r="AE119" s="12">
        <f t="shared" si="33"/>
        <v>26</v>
      </c>
      <c r="AF119" s="12">
        <f t="shared" si="34"/>
        <v>8</v>
      </c>
      <c r="AG119" s="12">
        <f t="shared" si="35"/>
        <v>12</v>
      </c>
    </row>
    <row r="120" spans="1:33" x14ac:dyDescent="0.3">
      <c r="A120" s="8" t="s">
        <v>180</v>
      </c>
      <c r="B120" s="8" t="s">
        <v>155</v>
      </c>
      <c r="C120" s="8" t="s">
        <v>61</v>
      </c>
      <c r="D120" s="9">
        <v>2912456.65</v>
      </c>
      <c r="E120" s="9">
        <v>251507.54</v>
      </c>
      <c r="F120" s="8">
        <v>11.9</v>
      </c>
      <c r="G120" s="8">
        <v>10</v>
      </c>
      <c r="H120" s="8">
        <v>1</v>
      </c>
      <c r="I120" s="8">
        <v>12</v>
      </c>
      <c r="J120" s="10">
        <f t="shared" si="18"/>
        <v>1</v>
      </c>
      <c r="K120" s="11">
        <f t="shared" si="19"/>
        <v>2912456.65</v>
      </c>
      <c r="L120" s="11">
        <f t="shared" si="20"/>
        <v>251507.54</v>
      </c>
      <c r="M120" s="11">
        <f t="shared" si="21"/>
        <v>3163964.19</v>
      </c>
      <c r="N120" s="11">
        <f t="shared" si="22"/>
        <v>3163964.19</v>
      </c>
      <c r="O120" s="11">
        <f t="shared" si="23"/>
        <v>3024133.6550000003</v>
      </c>
      <c r="P120" s="12">
        <f>IF(AND(C120="F",M120&lt;O120,SUMIFS(Категории!$Z$5:$Z$11,Категории!$A$5:$A$11,B120)=1),1,0)</f>
        <v>0</v>
      </c>
      <c r="Q120" s="11">
        <f t="shared" si="24"/>
        <v>0</v>
      </c>
      <c r="R120" s="10">
        <f>IF(AND(P120=1,SUMIFS(Категории!$AA$5:$AA$11,Категории!$A$5:$A$11,B120)&gt;0),Q120/SUMIFS(Категории!$AA$5:$AA$11,Категории!$A$5:$A$11,B120),0)</f>
        <v>0</v>
      </c>
      <c r="S120" s="11">
        <f>R120*SUMIFS(Категории!$AB$5:$AB$11,Категории!$A$5:$A$11,B120)</f>
        <v>0</v>
      </c>
      <c r="T120" s="11">
        <f t="shared" si="25"/>
        <v>0</v>
      </c>
      <c r="U120" s="11">
        <f t="shared" si="26"/>
        <v>0</v>
      </c>
      <c r="V120" s="11">
        <f t="shared" si="27"/>
        <v>0</v>
      </c>
      <c r="W120" s="12">
        <f>IF(AND(C120="F",M120&lt;O120,SUMIFS(Категории!$AH$5:$AH$11,Категории!$A$5:$A$11,B120)=1),1,0)</f>
        <v>0</v>
      </c>
      <c r="X120" s="11">
        <f t="shared" si="28"/>
        <v>0</v>
      </c>
      <c r="Y120" s="10">
        <f>IF(AND(W120=1,SUMIFS(Категории!$AI$5:$AI$11,Категории!$A$5:$A$11,B120)&gt;0),X120/SUMIFS(Категории!$AI$5:$AI$11,Категории!$A$5:$A$11,B120),0)</f>
        <v>0</v>
      </c>
      <c r="Z120" s="11">
        <f>Y120*SUMIFS(Категории!$AJ$5:$AJ$11,Категории!$A$5:$A$11,B120)</f>
        <v>0</v>
      </c>
      <c r="AA120" s="11">
        <f t="shared" si="29"/>
        <v>0</v>
      </c>
      <c r="AB120" s="11">
        <f t="shared" si="30"/>
        <v>0</v>
      </c>
      <c r="AC120" s="11">
        <f t="shared" si="31"/>
        <v>0</v>
      </c>
      <c r="AD120" s="12">
        <f t="shared" si="32"/>
        <v>19</v>
      </c>
      <c r="AE120" s="12">
        <f t="shared" si="33"/>
        <v>26</v>
      </c>
      <c r="AF120" s="12">
        <f t="shared" si="34"/>
        <v>13</v>
      </c>
      <c r="AG120" s="12">
        <f t="shared" si="35"/>
        <v>14</v>
      </c>
    </row>
    <row r="121" spans="1:33" x14ac:dyDescent="0.3">
      <c r="A121" s="8" t="s">
        <v>181</v>
      </c>
      <c r="B121" s="8" t="s">
        <v>182</v>
      </c>
      <c r="C121" s="8" t="s">
        <v>61</v>
      </c>
      <c r="D121" s="9">
        <v>2016205</v>
      </c>
      <c r="E121" s="9">
        <v>149499.25</v>
      </c>
      <c r="F121" s="8">
        <v>12.4</v>
      </c>
      <c r="G121" s="8">
        <v>6</v>
      </c>
      <c r="H121" s="8">
        <v>1</v>
      </c>
      <c r="I121" s="8">
        <v>12</v>
      </c>
      <c r="J121" s="10">
        <f t="shared" si="18"/>
        <v>1</v>
      </c>
      <c r="K121" s="11">
        <f t="shared" si="19"/>
        <v>2016205</v>
      </c>
      <c r="L121" s="11">
        <f t="shared" si="20"/>
        <v>149499.25</v>
      </c>
      <c r="M121" s="11">
        <f t="shared" si="21"/>
        <v>2165704.25</v>
      </c>
      <c r="N121" s="11">
        <f t="shared" si="22"/>
        <v>2165704.25</v>
      </c>
      <c r="O121" s="11">
        <f t="shared" si="23"/>
        <v>1952127.125</v>
      </c>
      <c r="P121" s="12">
        <f>IF(AND(C121="F",M121&lt;O121,SUMIFS(Категории!$Z$5:$Z$11,Категории!$A$5:$A$11,B121)=1),1,0)</f>
        <v>0</v>
      </c>
      <c r="Q121" s="11">
        <f t="shared" si="24"/>
        <v>0</v>
      </c>
      <c r="R121" s="10">
        <f>IF(AND(P121=1,SUMIFS(Категории!$AA$5:$AA$11,Категории!$A$5:$A$11,B121)&gt;0),Q121/SUMIFS(Категории!$AA$5:$AA$11,Категории!$A$5:$A$11,B121),0)</f>
        <v>0</v>
      </c>
      <c r="S121" s="11">
        <f>R121*SUMIFS(Категории!$AB$5:$AB$11,Категории!$A$5:$A$11,B121)</f>
        <v>0</v>
      </c>
      <c r="T121" s="11">
        <f t="shared" si="25"/>
        <v>0</v>
      </c>
      <c r="U121" s="11">
        <f t="shared" si="26"/>
        <v>0</v>
      </c>
      <c r="V121" s="11">
        <f t="shared" si="27"/>
        <v>0</v>
      </c>
      <c r="W121" s="12">
        <f>IF(AND(C121="F",M121&lt;O121,SUMIFS(Категории!$AH$5:$AH$11,Категории!$A$5:$A$11,B121)=1),1,0)</f>
        <v>0</v>
      </c>
      <c r="X121" s="11">
        <f t="shared" si="28"/>
        <v>0</v>
      </c>
      <c r="Y121" s="10">
        <f>IF(AND(W121=1,SUMIFS(Категории!$AI$5:$AI$11,Категории!$A$5:$A$11,B121)&gt;0),X121/SUMIFS(Категории!$AI$5:$AI$11,Категории!$A$5:$A$11,B121),0)</f>
        <v>0</v>
      </c>
      <c r="Z121" s="11">
        <f>Y121*SUMIFS(Категории!$AJ$5:$AJ$11,Категории!$A$5:$A$11,B121)</f>
        <v>0</v>
      </c>
      <c r="AA121" s="11">
        <f t="shared" si="29"/>
        <v>0</v>
      </c>
      <c r="AB121" s="11">
        <f t="shared" si="30"/>
        <v>0</v>
      </c>
      <c r="AC121" s="11">
        <f t="shared" si="31"/>
        <v>0</v>
      </c>
      <c r="AD121" s="12">
        <f t="shared" si="32"/>
        <v>26</v>
      </c>
      <c r="AE121" s="12">
        <f t="shared" si="33"/>
        <v>40</v>
      </c>
      <c r="AF121" s="12">
        <f t="shared" si="34"/>
        <v>11</v>
      </c>
      <c r="AG121" s="12">
        <f t="shared" si="35"/>
        <v>21</v>
      </c>
    </row>
    <row r="122" spans="1:33" x14ac:dyDescent="0.3">
      <c r="A122" s="8" t="s">
        <v>183</v>
      </c>
      <c r="B122" s="8" t="s">
        <v>182</v>
      </c>
      <c r="C122" s="8" t="s">
        <v>61</v>
      </c>
      <c r="D122" s="9">
        <v>884877.67</v>
      </c>
      <c r="E122" s="9">
        <v>66090.86</v>
      </c>
      <c r="F122" s="8">
        <v>11.3</v>
      </c>
      <c r="G122" s="8">
        <v>5</v>
      </c>
      <c r="H122" s="8">
        <v>0.5</v>
      </c>
      <c r="I122" s="8">
        <v>12</v>
      </c>
      <c r="J122" s="10">
        <f t="shared" si="18"/>
        <v>0.5</v>
      </c>
      <c r="K122" s="11">
        <f t="shared" si="19"/>
        <v>1769755.34</v>
      </c>
      <c r="L122" s="11">
        <f t="shared" si="20"/>
        <v>132181.72</v>
      </c>
      <c r="M122" s="11">
        <f t="shared" si="21"/>
        <v>1901937.06</v>
      </c>
      <c r="N122" s="11">
        <f t="shared" si="22"/>
        <v>950968.53</v>
      </c>
      <c r="O122" s="11">
        <f t="shared" si="23"/>
        <v>1952127.125</v>
      </c>
      <c r="P122" s="12">
        <f>IF(AND(C122="F",M122&lt;O122,SUMIFS(Категории!$Z$5:$Z$11,Категории!$A$5:$A$11,B122)=1),1,0)</f>
        <v>0</v>
      </c>
      <c r="Q122" s="11">
        <f t="shared" si="24"/>
        <v>0</v>
      </c>
      <c r="R122" s="10">
        <f>IF(AND(P122=1,SUMIFS(Категории!$AA$5:$AA$11,Категории!$A$5:$A$11,B122)&gt;0),Q122/SUMIFS(Категории!$AA$5:$AA$11,Категории!$A$5:$A$11,B122),0)</f>
        <v>0</v>
      </c>
      <c r="S122" s="11">
        <f>R122*SUMIFS(Категории!$AB$5:$AB$11,Категории!$A$5:$A$11,B122)</f>
        <v>0</v>
      </c>
      <c r="T122" s="11">
        <f t="shared" si="25"/>
        <v>0</v>
      </c>
      <c r="U122" s="11">
        <f t="shared" si="26"/>
        <v>0</v>
      </c>
      <c r="V122" s="11">
        <f t="shared" si="27"/>
        <v>0</v>
      </c>
      <c r="W122" s="12">
        <f>IF(AND(C122="F",M122&lt;O122,SUMIFS(Категории!$AH$5:$AH$11,Категории!$A$5:$A$11,B122)=1),1,0)</f>
        <v>0</v>
      </c>
      <c r="X122" s="11">
        <f t="shared" si="28"/>
        <v>0</v>
      </c>
      <c r="Y122" s="10">
        <f>IF(AND(W122=1,SUMIFS(Категории!$AI$5:$AI$11,Категории!$A$5:$A$11,B122)&gt;0),X122/SUMIFS(Категории!$AI$5:$AI$11,Категории!$A$5:$A$11,B122),0)</f>
        <v>0</v>
      </c>
      <c r="Z122" s="11">
        <f>Y122*SUMIFS(Категории!$AJ$5:$AJ$11,Категории!$A$5:$A$11,B122)</f>
        <v>0</v>
      </c>
      <c r="AA122" s="11">
        <f t="shared" si="29"/>
        <v>0</v>
      </c>
      <c r="AB122" s="11">
        <f t="shared" si="30"/>
        <v>0</v>
      </c>
      <c r="AC122" s="11">
        <f t="shared" si="31"/>
        <v>0</v>
      </c>
      <c r="AD122" s="12">
        <f t="shared" si="32"/>
        <v>19</v>
      </c>
      <c r="AE122" s="12">
        <f t="shared" si="33"/>
        <v>40</v>
      </c>
      <c r="AF122" s="12">
        <f t="shared" si="34"/>
        <v>7</v>
      </c>
      <c r="AG122" s="12">
        <f t="shared" si="35"/>
        <v>21</v>
      </c>
    </row>
    <row r="123" spans="1:33" x14ac:dyDescent="0.3">
      <c r="A123" s="8" t="s">
        <v>184</v>
      </c>
      <c r="B123" s="8" t="s">
        <v>182</v>
      </c>
      <c r="C123" s="8" t="s">
        <v>61</v>
      </c>
      <c r="D123" s="9">
        <v>2484045.7400000002</v>
      </c>
      <c r="E123" s="9">
        <v>186222.81</v>
      </c>
      <c r="F123" s="8">
        <v>15.7</v>
      </c>
      <c r="G123" s="8">
        <v>7</v>
      </c>
      <c r="H123" s="8">
        <v>1</v>
      </c>
      <c r="I123" s="8">
        <v>12</v>
      </c>
      <c r="J123" s="10">
        <f t="shared" si="18"/>
        <v>1</v>
      </c>
      <c r="K123" s="11">
        <f t="shared" si="19"/>
        <v>2484045.7400000002</v>
      </c>
      <c r="L123" s="11">
        <f t="shared" si="20"/>
        <v>186222.81</v>
      </c>
      <c r="M123" s="11">
        <f t="shared" si="21"/>
        <v>2670268.5500000003</v>
      </c>
      <c r="N123" s="11">
        <f t="shared" si="22"/>
        <v>2670268.5500000003</v>
      </c>
      <c r="O123" s="11">
        <f t="shared" si="23"/>
        <v>1952127.125</v>
      </c>
      <c r="P123" s="12">
        <f>IF(AND(C123="F",M123&lt;O123,SUMIFS(Категории!$Z$5:$Z$11,Категории!$A$5:$A$11,B123)=1),1,0)</f>
        <v>0</v>
      </c>
      <c r="Q123" s="11">
        <f t="shared" si="24"/>
        <v>0</v>
      </c>
      <c r="R123" s="10">
        <f>IF(AND(P123=1,SUMIFS(Категории!$AA$5:$AA$11,Категории!$A$5:$A$11,B123)&gt;0),Q123/SUMIFS(Категории!$AA$5:$AA$11,Категории!$A$5:$A$11,B123),0)</f>
        <v>0</v>
      </c>
      <c r="S123" s="11">
        <f>R123*SUMIFS(Категории!$AB$5:$AB$11,Категории!$A$5:$A$11,B123)</f>
        <v>0</v>
      </c>
      <c r="T123" s="11">
        <f t="shared" si="25"/>
        <v>0</v>
      </c>
      <c r="U123" s="11">
        <f t="shared" si="26"/>
        <v>0</v>
      </c>
      <c r="V123" s="11">
        <f t="shared" si="27"/>
        <v>0</v>
      </c>
      <c r="W123" s="12">
        <f>IF(AND(C123="F",M123&lt;O123,SUMIFS(Категории!$AH$5:$AH$11,Категории!$A$5:$A$11,B123)=1),1,0)</f>
        <v>0</v>
      </c>
      <c r="X123" s="11">
        <f t="shared" si="28"/>
        <v>0</v>
      </c>
      <c r="Y123" s="10">
        <f>IF(AND(W123=1,SUMIFS(Категории!$AI$5:$AI$11,Категории!$A$5:$A$11,B123)&gt;0),X123/SUMIFS(Категории!$AI$5:$AI$11,Категории!$A$5:$A$11,B123),0)</f>
        <v>0</v>
      </c>
      <c r="Z123" s="11">
        <f>Y123*SUMIFS(Категории!$AJ$5:$AJ$11,Категории!$A$5:$A$11,B123)</f>
        <v>0</v>
      </c>
      <c r="AA123" s="11">
        <f t="shared" si="29"/>
        <v>0</v>
      </c>
      <c r="AB123" s="11">
        <f t="shared" si="30"/>
        <v>0</v>
      </c>
      <c r="AC123" s="11">
        <f t="shared" si="31"/>
        <v>0</v>
      </c>
      <c r="AD123" s="12">
        <f t="shared" si="32"/>
        <v>37</v>
      </c>
      <c r="AE123" s="12">
        <f t="shared" si="33"/>
        <v>40</v>
      </c>
      <c r="AF123" s="12">
        <f t="shared" si="34"/>
        <v>19</v>
      </c>
      <c r="AG123" s="12">
        <f t="shared" si="35"/>
        <v>21</v>
      </c>
    </row>
    <row r="124" spans="1:33" x14ac:dyDescent="0.3">
      <c r="A124" s="8" t="s">
        <v>185</v>
      </c>
      <c r="B124" s="8" t="s">
        <v>182</v>
      </c>
      <c r="C124" s="8" t="s">
        <v>61</v>
      </c>
      <c r="D124" s="9">
        <v>2169816.12</v>
      </c>
      <c r="E124" s="9">
        <v>112971.31</v>
      </c>
      <c r="F124" s="8">
        <v>10.6</v>
      </c>
      <c r="G124" s="8">
        <v>7</v>
      </c>
      <c r="H124" s="8">
        <v>1</v>
      </c>
      <c r="I124" s="8">
        <v>12</v>
      </c>
      <c r="J124" s="10">
        <f t="shared" si="18"/>
        <v>1</v>
      </c>
      <c r="K124" s="11">
        <f t="shared" si="19"/>
        <v>2169816.12</v>
      </c>
      <c r="L124" s="11">
        <f t="shared" si="20"/>
        <v>112971.31</v>
      </c>
      <c r="M124" s="11">
        <f t="shared" si="21"/>
        <v>2282787.4300000002</v>
      </c>
      <c r="N124" s="11">
        <f t="shared" si="22"/>
        <v>2282787.4300000002</v>
      </c>
      <c r="O124" s="11">
        <f t="shared" si="23"/>
        <v>1952127.125</v>
      </c>
      <c r="P124" s="12">
        <f>IF(AND(C124="F",M124&lt;O124,SUMIFS(Категории!$Z$5:$Z$11,Категории!$A$5:$A$11,B124)=1),1,0)</f>
        <v>0</v>
      </c>
      <c r="Q124" s="11">
        <f t="shared" si="24"/>
        <v>0</v>
      </c>
      <c r="R124" s="10">
        <f>IF(AND(P124=1,SUMIFS(Категории!$AA$5:$AA$11,Категории!$A$5:$A$11,B124)&gt;0),Q124/SUMIFS(Категории!$AA$5:$AA$11,Категории!$A$5:$A$11,B124),0)</f>
        <v>0</v>
      </c>
      <c r="S124" s="11">
        <f>R124*SUMIFS(Категории!$AB$5:$AB$11,Категории!$A$5:$A$11,B124)</f>
        <v>0</v>
      </c>
      <c r="T124" s="11">
        <f t="shared" si="25"/>
        <v>0</v>
      </c>
      <c r="U124" s="11">
        <f t="shared" si="26"/>
        <v>0</v>
      </c>
      <c r="V124" s="11">
        <f t="shared" si="27"/>
        <v>0</v>
      </c>
      <c r="W124" s="12">
        <f>IF(AND(C124="F",M124&lt;O124,SUMIFS(Категории!$AH$5:$AH$11,Категории!$A$5:$A$11,B124)=1),1,0)</f>
        <v>0</v>
      </c>
      <c r="X124" s="11">
        <f t="shared" si="28"/>
        <v>0</v>
      </c>
      <c r="Y124" s="10">
        <f>IF(AND(W124=1,SUMIFS(Категории!$AI$5:$AI$11,Категории!$A$5:$A$11,B124)&gt;0),X124/SUMIFS(Категории!$AI$5:$AI$11,Категории!$A$5:$A$11,B124),0)</f>
        <v>0</v>
      </c>
      <c r="Z124" s="11">
        <f>Y124*SUMIFS(Категории!$AJ$5:$AJ$11,Категории!$A$5:$A$11,B124)</f>
        <v>0</v>
      </c>
      <c r="AA124" s="11">
        <f t="shared" si="29"/>
        <v>0</v>
      </c>
      <c r="AB124" s="11">
        <f t="shared" si="30"/>
        <v>0</v>
      </c>
      <c r="AC124" s="11">
        <f t="shared" si="31"/>
        <v>0</v>
      </c>
      <c r="AD124" s="12">
        <f t="shared" si="32"/>
        <v>29</v>
      </c>
      <c r="AE124" s="12">
        <f t="shared" si="33"/>
        <v>40</v>
      </c>
      <c r="AF124" s="12">
        <f t="shared" si="34"/>
        <v>12</v>
      </c>
      <c r="AG124" s="12">
        <f t="shared" si="35"/>
        <v>21</v>
      </c>
    </row>
    <row r="125" spans="1:33" x14ac:dyDescent="0.3">
      <c r="A125" s="8" t="s">
        <v>186</v>
      </c>
      <c r="B125" s="8" t="s">
        <v>182</v>
      </c>
      <c r="C125" s="8" t="s">
        <v>66</v>
      </c>
      <c r="D125" s="9">
        <v>1892282.6</v>
      </c>
      <c r="E125" s="9">
        <v>131549.06</v>
      </c>
      <c r="F125" s="8">
        <v>8</v>
      </c>
      <c r="G125" s="8">
        <v>6</v>
      </c>
      <c r="H125" s="8">
        <v>1</v>
      </c>
      <c r="I125" s="8">
        <v>12</v>
      </c>
      <c r="J125" s="10">
        <f t="shared" si="18"/>
        <v>1</v>
      </c>
      <c r="K125" s="11">
        <f t="shared" si="19"/>
        <v>1892282.6</v>
      </c>
      <c r="L125" s="11">
        <f t="shared" si="20"/>
        <v>131549.06</v>
      </c>
      <c r="M125" s="11">
        <f t="shared" si="21"/>
        <v>2023831.6600000001</v>
      </c>
      <c r="N125" s="11">
        <f t="shared" si="22"/>
        <v>2023831.6600000001</v>
      </c>
      <c r="O125" s="11">
        <f t="shared" si="23"/>
        <v>1952127.125</v>
      </c>
      <c r="P125" s="12">
        <f>IF(AND(C125="F",M125&lt;O125,SUMIFS(Категории!$Z$5:$Z$11,Категории!$A$5:$A$11,B125)=1),1,0)</f>
        <v>0</v>
      </c>
      <c r="Q125" s="11">
        <f t="shared" si="24"/>
        <v>0</v>
      </c>
      <c r="R125" s="10">
        <f>IF(AND(P125=1,SUMIFS(Категории!$AA$5:$AA$11,Категории!$A$5:$A$11,B125)&gt;0),Q125/SUMIFS(Категории!$AA$5:$AA$11,Категории!$A$5:$A$11,B125),0)</f>
        <v>0</v>
      </c>
      <c r="S125" s="11">
        <f>R125*SUMIFS(Категории!$AB$5:$AB$11,Категории!$A$5:$A$11,B125)</f>
        <v>0</v>
      </c>
      <c r="T125" s="11">
        <f t="shared" si="25"/>
        <v>0</v>
      </c>
      <c r="U125" s="11">
        <f t="shared" si="26"/>
        <v>0</v>
      </c>
      <c r="V125" s="11">
        <f t="shared" si="27"/>
        <v>0</v>
      </c>
      <c r="W125" s="12">
        <f>IF(AND(C125="F",M125&lt;O125,SUMIFS(Категории!$AH$5:$AH$11,Категории!$A$5:$A$11,B125)=1),1,0)</f>
        <v>0</v>
      </c>
      <c r="X125" s="11">
        <f t="shared" si="28"/>
        <v>0</v>
      </c>
      <c r="Y125" s="10">
        <f>IF(AND(W125=1,SUMIFS(Категории!$AI$5:$AI$11,Категории!$A$5:$A$11,B125)&gt;0),X125/SUMIFS(Категории!$AI$5:$AI$11,Категории!$A$5:$A$11,B125),0)</f>
        <v>0</v>
      </c>
      <c r="Z125" s="11">
        <f>Y125*SUMIFS(Категории!$AJ$5:$AJ$11,Категории!$A$5:$A$11,B125)</f>
        <v>0</v>
      </c>
      <c r="AA125" s="11">
        <f t="shared" si="29"/>
        <v>0</v>
      </c>
      <c r="AB125" s="11">
        <f t="shared" si="30"/>
        <v>0</v>
      </c>
      <c r="AC125" s="11">
        <f t="shared" si="31"/>
        <v>0</v>
      </c>
      <c r="AD125" s="12">
        <f t="shared" si="32"/>
        <v>23</v>
      </c>
      <c r="AE125" s="12">
        <f t="shared" si="33"/>
        <v>40</v>
      </c>
      <c r="AF125" s="12">
        <f t="shared" si="34"/>
        <v>13</v>
      </c>
      <c r="AG125" s="12">
        <f t="shared" si="35"/>
        <v>19</v>
      </c>
    </row>
    <row r="126" spans="1:33" x14ac:dyDescent="0.3">
      <c r="A126" s="8" t="s">
        <v>187</v>
      </c>
      <c r="B126" s="8" t="s">
        <v>182</v>
      </c>
      <c r="C126" s="8" t="s">
        <v>61</v>
      </c>
      <c r="D126" s="9">
        <v>1439370.79</v>
      </c>
      <c r="E126" s="9">
        <v>102751.66</v>
      </c>
      <c r="F126" s="8">
        <v>3.6</v>
      </c>
      <c r="G126" s="8">
        <v>4</v>
      </c>
      <c r="H126" s="8">
        <v>1</v>
      </c>
      <c r="I126" s="8">
        <v>12</v>
      </c>
      <c r="J126" s="10">
        <f t="shared" si="18"/>
        <v>1</v>
      </c>
      <c r="K126" s="11">
        <f t="shared" si="19"/>
        <v>1439370.79</v>
      </c>
      <c r="L126" s="11">
        <f t="shared" si="20"/>
        <v>102751.66</v>
      </c>
      <c r="M126" s="11">
        <f t="shared" si="21"/>
        <v>1542122.45</v>
      </c>
      <c r="N126" s="11">
        <f t="shared" si="22"/>
        <v>1542122.45</v>
      </c>
      <c r="O126" s="11">
        <f t="shared" si="23"/>
        <v>1952127.125</v>
      </c>
      <c r="P126" s="12">
        <f>IF(AND(C126="F",M126&lt;O126,SUMIFS(Категории!$Z$5:$Z$11,Категории!$A$5:$A$11,B126)=1),1,0)</f>
        <v>0</v>
      </c>
      <c r="Q126" s="11">
        <f t="shared" si="24"/>
        <v>0</v>
      </c>
      <c r="R126" s="10">
        <f>IF(AND(P126=1,SUMIFS(Категории!$AA$5:$AA$11,Категории!$A$5:$A$11,B126)&gt;0),Q126/SUMIFS(Категории!$AA$5:$AA$11,Категории!$A$5:$A$11,B126),0)</f>
        <v>0</v>
      </c>
      <c r="S126" s="11">
        <f>R126*SUMIFS(Категории!$AB$5:$AB$11,Категории!$A$5:$A$11,B126)</f>
        <v>0</v>
      </c>
      <c r="T126" s="11">
        <f t="shared" si="25"/>
        <v>0</v>
      </c>
      <c r="U126" s="11">
        <f t="shared" si="26"/>
        <v>0</v>
      </c>
      <c r="V126" s="11">
        <f t="shared" si="27"/>
        <v>0</v>
      </c>
      <c r="W126" s="12">
        <f>IF(AND(C126="F",M126&lt;O126,SUMIFS(Категории!$AH$5:$AH$11,Категории!$A$5:$A$11,B126)=1),1,0)</f>
        <v>0</v>
      </c>
      <c r="X126" s="11">
        <f t="shared" si="28"/>
        <v>0</v>
      </c>
      <c r="Y126" s="10">
        <f>IF(AND(W126=1,SUMIFS(Категории!$AI$5:$AI$11,Категории!$A$5:$A$11,B126)&gt;0),X126/SUMIFS(Категории!$AI$5:$AI$11,Категории!$A$5:$A$11,B126),0)</f>
        <v>0</v>
      </c>
      <c r="Z126" s="11">
        <f>Y126*SUMIFS(Категории!$AJ$5:$AJ$11,Категории!$A$5:$A$11,B126)</f>
        <v>0</v>
      </c>
      <c r="AA126" s="11">
        <f t="shared" si="29"/>
        <v>0</v>
      </c>
      <c r="AB126" s="11">
        <f t="shared" si="30"/>
        <v>0</v>
      </c>
      <c r="AC126" s="11">
        <f t="shared" si="31"/>
        <v>0</v>
      </c>
      <c r="AD126" s="12">
        <f t="shared" si="32"/>
        <v>5</v>
      </c>
      <c r="AE126" s="12">
        <f t="shared" si="33"/>
        <v>40</v>
      </c>
      <c r="AF126" s="12">
        <f t="shared" si="34"/>
        <v>1</v>
      </c>
      <c r="AG126" s="12">
        <f t="shared" si="35"/>
        <v>21</v>
      </c>
    </row>
    <row r="127" spans="1:33" x14ac:dyDescent="0.3">
      <c r="A127" s="8" t="s">
        <v>188</v>
      </c>
      <c r="B127" s="8" t="s">
        <v>182</v>
      </c>
      <c r="C127" s="8" t="s">
        <v>66</v>
      </c>
      <c r="D127" s="9">
        <v>1665633.23</v>
      </c>
      <c r="E127" s="9">
        <v>89558.81</v>
      </c>
      <c r="F127" s="8">
        <v>7.8</v>
      </c>
      <c r="G127" s="8">
        <v>6</v>
      </c>
      <c r="H127" s="8">
        <v>1</v>
      </c>
      <c r="I127" s="8">
        <v>12</v>
      </c>
      <c r="J127" s="10">
        <f t="shared" si="18"/>
        <v>1</v>
      </c>
      <c r="K127" s="11">
        <f t="shared" si="19"/>
        <v>1665633.23</v>
      </c>
      <c r="L127" s="11">
        <f t="shared" si="20"/>
        <v>89558.81</v>
      </c>
      <c r="M127" s="11">
        <f t="shared" si="21"/>
        <v>1755192.04</v>
      </c>
      <c r="N127" s="11">
        <f t="shared" si="22"/>
        <v>1755192.04</v>
      </c>
      <c r="O127" s="11">
        <f t="shared" si="23"/>
        <v>1952127.125</v>
      </c>
      <c r="P127" s="12">
        <f>IF(AND(C127="F",M127&lt;O127,SUMIFS(Категории!$Z$5:$Z$11,Категории!$A$5:$A$11,B127)=1),1,0)</f>
        <v>1</v>
      </c>
      <c r="Q127" s="11">
        <f t="shared" si="24"/>
        <v>196935.08499999996</v>
      </c>
      <c r="R127" s="10">
        <f>IF(AND(P127=1,SUMIFS(Категории!$AA$5:$AA$11,Категории!$A$5:$A$11,B127)&gt;0),Q127/SUMIFS(Категории!$AA$5:$AA$11,Категории!$A$5:$A$11,B127),0)</f>
        <v>4.658244872961944E-2</v>
      </c>
      <c r="S127" s="11">
        <f>R127*SUMIFS(Категории!$AB$5:$AB$11,Категории!$A$5:$A$11,B127)</f>
        <v>31893.352172634328</v>
      </c>
      <c r="T127" s="11">
        <f t="shared" si="25"/>
        <v>31893.352172634328</v>
      </c>
      <c r="U127" s="11">
        <f t="shared" si="26"/>
        <v>9568.0056517902976</v>
      </c>
      <c r="V127" s="11">
        <f t="shared" si="27"/>
        <v>41461.357824424624</v>
      </c>
      <c r="W127" s="12">
        <f>IF(AND(C127="F",M127&lt;O127,SUMIFS(Категории!$AH$5:$AH$11,Категории!$A$5:$A$11,B127)=1),1,0)</f>
        <v>1</v>
      </c>
      <c r="X127" s="11">
        <f t="shared" si="28"/>
        <v>196935.08499999996</v>
      </c>
      <c r="Y127" s="10">
        <f>IF(AND(W127=1,SUMIFS(Категории!$AI$5:$AI$11,Категории!$A$5:$A$11,B127)&gt;0),X127/SUMIFS(Категории!$AI$5:$AI$11,Категории!$A$5:$A$11,B127),0)</f>
        <v>4.658244872961944E-2</v>
      </c>
      <c r="Z127" s="11">
        <f>Y127*SUMIFS(Категории!$AJ$5:$AJ$11,Категории!$A$5:$A$11,B127)</f>
        <v>128000.78404294651</v>
      </c>
      <c r="AA127" s="11">
        <f t="shared" si="29"/>
        <v>128000.78404294651</v>
      </c>
      <c r="AB127" s="11">
        <f t="shared" si="30"/>
        <v>38400.235212883956</v>
      </c>
      <c r="AC127" s="11">
        <f t="shared" si="31"/>
        <v>166401.01925583047</v>
      </c>
      <c r="AD127" s="12">
        <f t="shared" si="32"/>
        <v>15</v>
      </c>
      <c r="AE127" s="12">
        <f t="shared" si="33"/>
        <v>40</v>
      </c>
      <c r="AF127" s="12">
        <f t="shared" si="34"/>
        <v>12</v>
      </c>
      <c r="AG127" s="12">
        <f t="shared" si="35"/>
        <v>19</v>
      </c>
    </row>
    <row r="128" spans="1:33" x14ac:dyDescent="0.3">
      <c r="A128" s="8" t="s">
        <v>189</v>
      </c>
      <c r="B128" s="8" t="s">
        <v>182</v>
      </c>
      <c r="C128" s="8" t="s">
        <v>66</v>
      </c>
      <c r="D128" s="9">
        <v>1505776.28</v>
      </c>
      <c r="E128" s="9">
        <v>80598.53</v>
      </c>
      <c r="F128" s="8">
        <v>7.4</v>
      </c>
      <c r="G128" s="8">
        <v>5</v>
      </c>
      <c r="H128" s="8">
        <v>1</v>
      </c>
      <c r="I128" s="8">
        <v>12</v>
      </c>
      <c r="J128" s="10">
        <f t="shared" si="18"/>
        <v>1</v>
      </c>
      <c r="K128" s="11">
        <f t="shared" si="19"/>
        <v>1505776.28</v>
      </c>
      <c r="L128" s="11">
        <f t="shared" si="20"/>
        <v>80598.53</v>
      </c>
      <c r="M128" s="11">
        <f t="shared" si="21"/>
        <v>1586374.81</v>
      </c>
      <c r="N128" s="11">
        <f t="shared" si="22"/>
        <v>1586374.81</v>
      </c>
      <c r="O128" s="11">
        <f t="shared" si="23"/>
        <v>1952127.125</v>
      </c>
      <c r="P128" s="12">
        <f>IF(AND(C128="F",M128&lt;O128,SUMIFS(Категории!$Z$5:$Z$11,Категории!$A$5:$A$11,B128)=1),1,0)</f>
        <v>1</v>
      </c>
      <c r="Q128" s="11">
        <f t="shared" si="24"/>
        <v>365752.31499999994</v>
      </c>
      <c r="R128" s="10">
        <f>IF(AND(P128=1,SUMIFS(Категории!$AA$5:$AA$11,Категории!$A$5:$A$11,B128)&gt;0),Q128/SUMIFS(Категории!$AA$5:$AA$11,Категории!$A$5:$A$11,B128),0)</f>
        <v>8.6513982316696478E-2</v>
      </c>
      <c r="S128" s="11">
        <f>R128*SUMIFS(Категории!$AB$5:$AB$11,Категории!$A$5:$A$11,B128)</f>
        <v>59233.058397142813</v>
      </c>
      <c r="T128" s="11">
        <f t="shared" si="25"/>
        <v>59233.058397142813</v>
      </c>
      <c r="U128" s="11">
        <f t="shared" si="26"/>
        <v>17769.917519142844</v>
      </c>
      <c r="V128" s="11">
        <f t="shared" si="27"/>
        <v>77002.97591628565</v>
      </c>
      <c r="W128" s="12">
        <f>IF(AND(C128="F",M128&lt;O128,SUMIFS(Категории!$AH$5:$AH$11,Категории!$A$5:$A$11,B128)=1),1,0)</f>
        <v>1</v>
      </c>
      <c r="X128" s="11">
        <f t="shared" si="28"/>
        <v>365752.31499999994</v>
      </c>
      <c r="Y128" s="10">
        <f>IF(AND(W128=1,SUMIFS(Категории!$AI$5:$AI$11,Категории!$A$5:$A$11,B128)&gt;0),X128/SUMIFS(Категории!$AI$5:$AI$11,Категории!$A$5:$A$11,B128),0)</f>
        <v>8.6513982316696478E-2</v>
      </c>
      <c r="Z128" s="11">
        <f>Y128*SUMIFS(Категории!$AJ$5:$AJ$11,Категории!$A$5:$A$11,B128)</f>
        <v>237725.96480471085</v>
      </c>
      <c r="AA128" s="11">
        <f t="shared" si="29"/>
        <v>237725.96480471085</v>
      </c>
      <c r="AB128" s="11">
        <f t="shared" si="30"/>
        <v>71317.789441413246</v>
      </c>
      <c r="AC128" s="11">
        <f t="shared" si="31"/>
        <v>309043.75424612407</v>
      </c>
      <c r="AD128" s="12">
        <f t="shared" si="32"/>
        <v>7</v>
      </c>
      <c r="AE128" s="12">
        <f t="shared" si="33"/>
        <v>40</v>
      </c>
      <c r="AF128" s="12">
        <f t="shared" si="34"/>
        <v>6</v>
      </c>
      <c r="AG128" s="12">
        <f t="shared" si="35"/>
        <v>19</v>
      </c>
    </row>
    <row r="129" spans="1:33" x14ac:dyDescent="0.3">
      <c r="A129" s="8" t="s">
        <v>190</v>
      </c>
      <c r="B129" s="8" t="s">
        <v>182</v>
      </c>
      <c r="C129" s="8" t="s">
        <v>66</v>
      </c>
      <c r="D129" s="9">
        <v>1639981.32</v>
      </c>
      <c r="E129" s="9">
        <v>86901.53</v>
      </c>
      <c r="F129" s="8">
        <v>5.9</v>
      </c>
      <c r="G129" s="8">
        <v>5</v>
      </c>
      <c r="H129" s="8">
        <v>1</v>
      </c>
      <c r="I129" s="8">
        <v>12</v>
      </c>
      <c r="J129" s="10">
        <f t="shared" si="18"/>
        <v>1</v>
      </c>
      <c r="K129" s="11">
        <f t="shared" si="19"/>
        <v>1639981.32</v>
      </c>
      <c r="L129" s="11">
        <f t="shared" si="20"/>
        <v>86901.53</v>
      </c>
      <c r="M129" s="11">
        <f t="shared" si="21"/>
        <v>1726882.85</v>
      </c>
      <c r="N129" s="11">
        <f t="shared" si="22"/>
        <v>1726882.85</v>
      </c>
      <c r="O129" s="11">
        <f t="shared" si="23"/>
        <v>1952127.125</v>
      </c>
      <c r="P129" s="12">
        <f>IF(AND(C129="F",M129&lt;O129,SUMIFS(Категории!$Z$5:$Z$11,Категории!$A$5:$A$11,B129)=1),1,0)</f>
        <v>1</v>
      </c>
      <c r="Q129" s="11">
        <f t="shared" si="24"/>
        <v>225244.27499999991</v>
      </c>
      <c r="R129" s="10">
        <f>IF(AND(P129=1,SUMIFS(Категории!$AA$5:$AA$11,Категории!$A$5:$A$11,B129)&gt;0),Q129/SUMIFS(Категории!$AA$5:$AA$11,Категории!$A$5:$A$11,B129),0)</f>
        <v>5.3278621693172643E-2</v>
      </c>
      <c r="S129" s="11">
        <f>R129*SUMIFS(Категории!$AB$5:$AB$11,Категории!$A$5:$A$11,B129)</f>
        <v>36477.984547266889</v>
      </c>
      <c r="T129" s="11">
        <f t="shared" si="25"/>
        <v>36477.984547266889</v>
      </c>
      <c r="U129" s="11">
        <f t="shared" si="26"/>
        <v>10943.395364180067</v>
      </c>
      <c r="V129" s="11">
        <f t="shared" si="27"/>
        <v>47421.379911446958</v>
      </c>
      <c r="W129" s="12">
        <f>IF(AND(C129="F",M129&lt;O129,SUMIFS(Категории!$AH$5:$AH$11,Категории!$A$5:$A$11,B129)=1),1,0)</f>
        <v>1</v>
      </c>
      <c r="X129" s="11">
        <f t="shared" si="28"/>
        <v>225244.27499999991</v>
      </c>
      <c r="Y129" s="10">
        <f>IF(AND(W129=1,SUMIFS(Категории!$AI$5:$AI$11,Категории!$A$5:$A$11,B129)&gt;0),X129/SUMIFS(Категории!$AI$5:$AI$11,Категории!$A$5:$A$11,B129),0)</f>
        <v>5.3278621693172643E-2</v>
      </c>
      <c r="Z129" s="11">
        <f>Y129*SUMIFS(Категории!$AJ$5:$AJ$11,Категории!$A$5:$A$11,B129)</f>
        <v>146400.74825257796</v>
      </c>
      <c r="AA129" s="11">
        <f t="shared" si="29"/>
        <v>146400.74825257796</v>
      </c>
      <c r="AB129" s="11">
        <f t="shared" si="30"/>
        <v>43920.224475773386</v>
      </c>
      <c r="AC129" s="11">
        <f t="shared" si="31"/>
        <v>190320.97272835136</v>
      </c>
      <c r="AD129" s="12">
        <f t="shared" si="32"/>
        <v>13</v>
      </c>
      <c r="AE129" s="12">
        <f t="shared" si="33"/>
        <v>40</v>
      </c>
      <c r="AF129" s="12">
        <f t="shared" si="34"/>
        <v>10</v>
      </c>
      <c r="AG129" s="12">
        <f t="shared" si="35"/>
        <v>19</v>
      </c>
    </row>
    <row r="130" spans="1:33" x14ac:dyDescent="0.3">
      <c r="A130" s="8" t="s">
        <v>191</v>
      </c>
      <c r="B130" s="8" t="s">
        <v>182</v>
      </c>
      <c r="C130" s="8" t="s">
        <v>61</v>
      </c>
      <c r="D130" s="9">
        <v>1888539.52</v>
      </c>
      <c r="E130" s="9">
        <v>115041.22</v>
      </c>
      <c r="F130" s="8">
        <v>11.8</v>
      </c>
      <c r="G130" s="8">
        <v>5</v>
      </c>
      <c r="H130" s="8">
        <v>1</v>
      </c>
      <c r="I130" s="8">
        <v>12</v>
      </c>
      <c r="J130" s="10">
        <f t="shared" si="18"/>
        <v>1</v>
      </c>
      <c r="K130" s="11">
        <f t="shared" si="19"/>
        <v>1888539.52</v>
      </c>
      <c r="L130" s="11">
        <f t="shared" si="20"/>
        <v>115041.22</v>
      </c>
      <c r="M130" s="11">
        <f t="shared" si="21"/>
        <v>2003580.74</v>
      </c>
      <c r="N130" s="11">
        <f t="shared" si="22"/>
        <v>2003580.74</v>
      </c>
      <c r="O130" s="11">
        <f t="shared" si="23"/>
        <v>1952127.125</v>
      </c>
      <c r="P130" s="12">
        <f>IF(AND(C130="F",M130&lt;O130,SUMIFS(Категории!$Z$5:$Z$11,Категории!$A$5:$A$11,B130)=1),1,0)</f>
        <v>0</v>
      </c>
      <c r="Q130" s="11">
        <f t="shared" si="24"/>
        <v>0</v>
      </c>
      <c r="R130" s="10">
        <f>IF(AND(P130=1,SUMIFS(Категории!$AA$5:$AA$11,Категории!$A$5:$A$11,B130)&gt;0),Q130/SUMIFS(Категории!$AA$5:$AA$11,Категории!$A$5:$A$11,B130),0)</f>
        <v>0</v>
      </c>
      <c r="S130" s="11">
        <f>R130*SUMIFS(Категории!$AB$5:$AB$11,Категории!$A$5:$A$11,B130)</f>
        <v>0</v>
      </c>
      <c r="T130" s="11">
        <f t="shared" si="25"/>
        <v>0</v>
      </c>
      <c r="U130" s="11">
        <f t="shared" si="26"/>
        <v>0</v>
      </c>
      <c r="V130" s="11">
        <f t="shared" si="27"/>
        <v>0</v>
      </c>
      <c r="W130" s="12">
        <f>IF(AND(C130="F",M130&lt;O130,SUMIFS(Категории!$AH$5:$AH$11,Категории!$A$5:$A$11,B130)=1),1,0)</f>
        <v>0</v>
      </c>
      <c r="X130" s="11">
        <f t="shared" si="28"/>
        <v>0</v>
      </c>
      <c r="Y130" s="10">
        <f>IF(AND(W130=1,SUMIFS(Категории!$AI$5:$AI$11,Категории!$A$5:$A$11,B130)&gt;0),X130/SUMIFS(Категории!$AI$5:$AI$11,Категории!$A$5:$A$11,B130),0)</f>
        <v>0</v>
      </c>
      <c r="Z130" s="11">
        <f>Y130*SUMIFS(Категории!$AJ$5:$AJ$11,Категории!$A$5:$A$11,B130)</f>
        <v>0</v>
      </c>
      <c r="AA130" s="11">
        <f t="shared" si="29"/>
        <v>0</v>
      </c>
      <c r="AB130" s="11">
        <f t="shared" si="30"/>
        <v>0</v>
      </c>
      <c r="AC130" s="11">
        <f t="shared" si="31"/>
        <v>0</v>
      </c>
      <c r="AD130" s="12">
        <f t="shared" si="32"/>
        <v>22</v>
      </c>
      <c r="AE130" s="12">
        <f t="shared" si="33"/>
        <v>40</v>
      </c>
      <c r="AF130" s="12">
        <f t="shared" si="34"/>
        <v>10</v>
      </c>
      <c r="AG130" s="12">
        <f t="shared" si="35"/>
        <v>21</v>
      </c>
    </row>
    <row r="131" spans="1:33" x14ac:dyDescent="0.3">
      <c r="A131" s="8" t="s">
        <v>192</v>
      </c>
      <c r="B131" s="8" t="s">
        <v>182</v>
      </c>
      <c r="C131" s="8" t="s">
        <v>61</v>
      </c>
      <c r="D131" s="9">
        <v>2388095.15</v>
      </c>
      <c r="E131" s="9">
        <v>123159.38</v>
      </c>
      <c r="F131" s="8">
        <v>18.5</v>
      </c>
      <c r="G131" s="8">
        <v>7</v>
      </c>
      <c r="H131" s="8">
        <v>1</v>
      </c>
      <c r="I131" s="8">
        <v>12</v>
      </c>
      <c r="J131" s="10">
        <f t="shared" si="18"/>
        <v>1</v>
      </c>
      <c r="K131" s="11">
        <f t="shared" si="19"/>
        <v>2388095.15</v>
      </c>
      <c r="L131" s="11">
        <f t="shared" si="20"/>
        <v>123159.38</v>
      </c>
      <c r="M131" s="11">
        <f t="shared" si="21"/>
        <v>2511254.5299999998</v>
      </c>
      <c r="N131" s="11">
        <f t="shared" si="22"/>
        <v>2511254.5299999998</v>
      </c>
      <c r="O131" s="11">
        <f t="shared" si="23"/>
        <v>1952127.125</v>
      </c>
      <c r="P131" s="12">
        <f>IF(AND(C131="F",M131&lt;O131,SUMIFS(Категории!$Z$5:$Z$11,Категории!$A$5:$A$11,B131)=1),1,0)</f>
        <v>0</v>
      </c>
      <c r="Q131" s="11">
        <f t="shared" si="24"/>
        <v>0</v>
      </c>
      <c r="R131" s="10">
        <f>IF(AND(P131=1,SUMIFS(Категории!$AA$5:$AA$11,Категории!$A$5:$A$11,B131)&gt;0),Q131/SUMIFS(Категории!$AA$5:$AA$11,Категории!$A$5:$A$11,B131),0)</f>
        <v>0</v>
      </c>
      <c r="S131" s="11">
        <f>R131*SUMIFS(Категории!$AB$5:$AB$11,Категории!$A$5:$A$11,B131)</f>
        <v>0</v>
      </c>
      <c r="T131" s="11">
        <f t="shared" si="25"/>
        <v>0</v>
      </c>
      <c r="U131" s="11">
        <f t="shared" si="26"/>
        <v>0</v>
      </c>
      <c r="V131" s="11">
        <f t="shared" si="27"/>
        <v>0</v>
      </c>
      <c r="W131" s="12">
        <f>IF(AND(C131="F",M131&lt;O131,SUMIFS(Категории!$AH$5:$AH$11,Категории!$A$5:$A$11,B131)=1),1,0)</f>
        <v>0</v>
      </c>
      <c r="X131" s="11">
        <f t="shared" si="28"/>
        <v>0</v>
      </c>
      <c r="Y131" s="10">
        <f>IF(AND(W131=1,SUMIFS(Категории!$AI$5:$AI$11,Категории!$A$5:$A$11,B131)&gt;0),X131/SUMIFS(Категории!$AI$5:$AI$11,Категории!$A$5:$A$11,B131),0)</f>
        <v>0</v>
      </c>
      <c r="Z131" s="11">
        <f>Y131*SUMIFS(Категории!$AJ$5:$AJ$11,Категории!$A$5:$A$11,B131)</f>
        <v>0</v>
      </c>
      <c r="AA131" s="11">
        <f t="shared" si="29"/>
        <v>0</v>
      </c>
      <c r="AB131" s="11">
        <f t="shared" si="30"/>
        <v>0</v>
      </c>
      <c r="AC131" s="11">
        <f t="shared" si="31"/>
        <v>0</v>
      </c>
      <c r="AD131" s="12">
        <f t="shared" si="32"/>
        <v>36</v>
      </c>
      <c r="AE131" s="12">
        <f t="shared" si="33"/>
        <v>40</v>
      </c>
      <c r="AF131" s="12">
        <f t="shared" si="34"/>
        <v>18</v>
      </c>
      <c r="AG131" s="12">
        <f t="shared" si="35"/>
        <v>21</v>
      </c>
    </row>
    <row r="132" spans="1:33" x14ac:dyDescent="0.3">
      <c r="A132" s="8" t="s">
        <v>193</v>
      </c>
      <c r="B132" s="8" t="s">
        <v>182</v>
      </c>
      <c r="C132" s="8" t="s">
        <v>66</v>
      </c>
      <c r="D132" s="9">
        <v>1933074.12</v>
      </c>
      <c r="E132" s="9">
        <v>94535.56</v>
      </c>
      <c r="F132" s="8">
        <v>7.1</v>
      </c>
      <c r="G132" s="8">
        <v>6</v>
      </c>
      <c r="H132" s="8">
        <v>1</v>
      </c>
      <c r="I132" s="8">
        <v>12</v>
      </c>
      <c r="J132" s="10">
        <f t="shared" si="18"/>
        <v>1</v>
      </c>
      <c r="K132" s="11">
        <f t="shared" si="19"/>
        <v>1933074.12</v>
      </c>
      <c r="L132" s="11">
        <f t="shared" si="20"/>
        <v>94535.56</v>
      </c>
      <c r="M132" s="11">
        <f t="shared" si="21"/>
        <v>2027609.6800000002</v>
      </c>
      <c r="N132" s="11">
        <f t="shared" si="22"/>
        <v>2027609.6800000002</v>
      </c>
      <c r="O132" s="11">
        <f t="shared" si="23"/>
        <v>1952127.125</v>
      </c>
      <c r="P132" s="12">
        <f>IF(AND(C132="F",M132&lt;O132,SUMIFS(Категории!$Z$5:$Z$11,Категории!$A$5:$A$11,B132)=1),1,0)</f>
        <v>0</v>
      </c>
      <c r="Q132" s="11">
        <f t="shared" si="24"/>
        <v>0</v>
      </c>
      <c r="R132" s="10">
        <f>IF(AND(P132=1,SUMIFS(Категории!$AA$5:$AA$11,Категории!$A$5:$A$11,B132)&gt;0),Q132/SUMIFS(Категории!$AA$5:$AA$11,Категории!$A$5:$A$11,B132),0)</f>
        <v>0</v>
      </c>
      <c r="S132" s="11">
        <f>R132*SUMIFS(Категории!$AB$5:$AB$11,Категории!$A$5:$A$11,B132)</f>
        <v>0</v>
      </c>
      <c r="T132" s="11">
        <f t="shared" si="25"/>
        <v>0</v>
      </c>
      <c r="U132" s="11">
        <f t="shared" si="26"/>
        <v>0</v>
      </c>
      <c r="V132" s="11">
        <f t="shared" si="27"/>
        <v>0</v>
      </c>
      <c r="W132" s="12">
        <f>IF(AND(C132="F",M132&lt;O132,SUMIFS(Категории!$AH$5:$AH$11,Категории!$A$5:$A$11,B132)=1),1,0)</f>
        <v>0</v>
      </c>
      <c r="X132" s="11">
        <f t="shared" si="28"/>
        <v>0</v>
      </c>
      <c r="Y132" s="10">
        <f>IF(AND(W132=1,SUMIFS(Категории!$AI$5:$AI$11,Категории!$A$5:$A$11,B132)&gt;0),X132/SUMIFS(Категории!$AI$5:$AI$11,Категории!$A$5:$A$11,B132),0)</f>
        <v>0</v>
      </c>
      <c r="Z132" s="11">
        <f>Y132*SUMIFS(Категории!$AJ$5:$AJ$11,Категории!$A$5:$A$11,B132)</f>
        <v>0</v>
      </c>
      <c r="AA132" s="11">
        <f t="shared" si="29"/>
        <v>0</v>
      </c>
      <c r="AB132" s="11">
        <f t="shared" si="30"/>
        <v>0</v>
      </c>
      <c r="AC132" s="11">
        <f t="shared" si="31"/>
        <v>0</v>
      </c>
      <c r="AD132" s="12">
        <f t="shared" si="32"/>
        <v>24</v>
      </c>
      <c r="AE132" s="12">
        <f t="shared" si="33"/>
        <v>40</v>
      </c>
      <c r="AF132" s="12">
        <f t="shared" si="34"/>
        <v>14</v>
      </c>
      <c r="AG132" s="12">
        <f t="shared" si="35"/>
        <v>19</v>
      </c>
    </row>
    <row r="133" spans="1:33" x14ac:dyDescent="0.3">
      <c r="A133" s="8" t="s">
        <v>194</v>
      </c>
      <c r="B133" s="8" t="s">
        <v>182</v>
      </c>
      <c r="C133" s="8" t="s">
        <v>61</v>
      </c>
      <c r="D133" s="9">
        <v>1659601.38</v>
      </c>
      <c r="E133" s="9">
        <v>114227.48</v>
      </c>
      <c r="F133" s="8">
        <v>3.4</v>
      </c>
      <c r="G133" s="8">
        <v>5</v>
      </c>
      <c r="H133" s="8">
        <v>1</v>
      </c>
      <c r="I133" s="8">
        <v>12</v>
      </c>
      <c r="J133" s="10">
        <f t="shared" ref="J133:J196" si="36">H133*(I133/12)</f>
        <v>1</v>
      </c>
      <c r="K133" s="11">
        <f t="shared" ref="K133:K196" si="37">D133/J133</f>
        <v>1659601.38</v>
      </c>
      <c r="L133" s="11">
        <f t="shared" ref="L133:L196" si="38">E133/J133</f>
        <v>114227.48</v>
      </c>
      <c r="M133" s="11">
        <f t="shared" ref="M133:M196" si="39">K133+L133</f>
        <v>1773828.8599999999</v>
      </c>
      <c r="N133" s="11">
        <f t="shared" ref="N133:N196" si="40">D133+E133</f>
        <v>1773828.8599999999</v>
      </c>
      <c r="O133" s="11">
        <f t="shared" ref="O133:O196" si="41">(SUMIFS($M$5:$M$216,$B$5:$B$216,B133,$AD$5:$AD$216,INT((AE133+1)/2))+SUMIFS($M$5:$M$216,$B$5:$B$216,B133,$AD$5:$AD$216,INT(AE133/2)+1))/2</f>
        <v>1952127.125</v>
      </c>
      <c r="P133" s="12">
        <f>IF(AND(C133="F",M133&lt;O133,SUMIFS(Категории!$Z$5:$Z$11,Категории!$A$5:$A$11,B133)=1),1,0)</f>
        <v>0</v>
      </c>
      <c r="Q133" s="11">
        <f t="shared" ref="Q133:Q196" si="42">IF(P133=1,O133-M133,0)</f>
        <v>0</v>
      </c>
      <c r="R133" s="10">
        <f>IF(AND(P133=1,SUMIFS(Категории!$AA$5:$AA$11,Категории!$A$5:$A$11,B133)&gt;0),Q133/SUMIFS(Категории!$AA$5:$AA$11,Категории!$A$5:$A$11,B133),0)</f>
        <v>0</v>
      </c>
      <c r="S133" s="11">
        <f>R133*SUMIFS(Категории!$AB$5:$AB$11,Категории!$A$5:$A$11,B133)</f>
        <v>0</v>
      </c>
      <c r="T133" s="11">
        <f t="shared" ref="T133:T196" si="43">S133*J133</f>
        <v>0</v>
      </c>
      <c r="U133" s="11">
        <f t="shared" ref="U133:U196" si="44">IF(T133&lt;=0,0,(rate_below/100)*MIN(T133,MAX(0,ceiling-D133))+(rate_above/100)*(T133-MIN(T133,MAX(0,ceiling-D133))))</f>
        <v>0</v>
      </c>
      <c r="V133" s="11">
        <f t="shared" ref="V133:V196" si="45">T133+U133</f>
        <v>0</v>
      </c>
      <c r="W133" s="12">
        <f>IF(AND(C133="F",M133&lt;O133,SUMIFS(Категории!$AH$5:$AH$11,Категории!$A$5:$A$11,B133)=1),1,0)</f>
        <v>0</v>
      </c>
      <c r="X133" s="11">
        <f t="shared" ref="X133:X196" si="46">IF(W133=1,O133-M133,0)</f>
        <v>0</v>
      </c>
      <c r="Y133" s="10">
        <f>IF(AND(W133=1,SUMIFS(Категории!$AI$5:$AI$11,Категории!$A$5:$A$11,B133)&gt;0),X133/SUMIFS(Категории!$AI$5:$AI$11,Категории!$A$5:$A$11,B133),0)</f>
        <v>0</v>
      </c>
      <c r="Z133" s="11">
        <f>Y133*SUMIFS(Категории!$AJ$5:$AJ$11,Категории!$A$5:$A$11,B133)</f>
        <v>0</v>
      </c>
      <c r="AA133" s="11">
        <f t="shared" ref="AA133:AA196" si="47">Z133*J133</f>
        <v>0</v>
      </c>
      <c r="AB133" s="11">
        <f t="shared" ref="AB133:AB196" si="48">IF(AA133&lt;=0,0,(rate_below/100)*MIN(AA133,MAX(0,ceiling-D133))+(rate_above/100)*(AA133-MIN(AA133,MAX(0,ceiling-D133))))</f>
        <v>0</v>
      </c>
      <c r="AC133" s="11">
        <f t="shared" ref="AC133:AC196" si="49">AA133+AB133</f>
        <v>0</v>
      </c>
      <c r="AD133" s="12">
        <f t="shared" ref="AD133:AD196" si="50">SUMPRODUCT(($B$5:$B$216=B133)*($M$5:$M$216&lt;M133))+SUMPRODUCT(($B$5:$B$216=B133)*($M$5:$M$216=M133)*(ROW($M$5:$M$216)&lt;ROW(M133)))+1</f>
        <v>16</v>
      </c>
      <c r="AE133" s="12">
        <f t="shared" ref="AE133:AE196" si="51">COUNTIF($B$5:$B$216,B133)</f>
        <v>40</v>
      </c>
      <c r="AF133" s="12">
        <f t="shared" ref="AF133:AF196" si="52">SUMPRODUCT(($B$5:$B$216=B133)*($C$5:$C$216=C133)*($M$5:$M$216&lt;M133))+SUMPRODUCT(($B$5:$B$216=B133)*($C$5:$C$216=C133)*($M$5:$M$216=M133)*(ROW($M$5:$M$216)&lt;ROW(M133)))+1</f>
        <v>4</v>
      </c>
      <c r="AG133" s="12">
        <f t="shared" ref="AG133:AG196" si="53">COUNTIFS($B$5:$B$216,B133,$C$5:$C$216,C133)</f>
        <v>21</v>
      </c>
    </row>
    <row r="134" spans="1:33" x14ac:dyDescent="0.3">
      <c r="A134" s="8" t="s">
        <v>195</v>
      </c>
      <c r="B134" s="8" t="s">
        <v>182</v>
      </c>
      <c r="C134" s="8" t="s">
        <v>66</v>
      </c>
      <c r="D134" s="9">
        <v>1587245.7</v>
      </c>
      <c r="E134" s="9">
        <v>85632.65</v>
      </c>
      <c r="F134" s="8">
        <v>6.8</v>
      </c>
      <c r="G134" s="8">
        <v>5</v>
      </c>
      <c r="H134" s="8">
        <v>1</v>
      </c>
      <c r="I134" s="8">
        <v>12</v>
      </c>
      <c r="J134" s="10">
        <f t="shared" si="36"/>
        <v>1</v>
      </c>
      <c r="K134" s="11">
        <f t="shared" si="37"/>
        <v>1587245.7</v>
      </c>
      <c r="L134" s="11">
        <f t="shared" si="38"/>
        <v>85632.65</v>
      </c>
      <c r="M134" s="11">
        <f t="shared" si="39"/>
        <v>1672878.3499999999</v>
      </c>
      <c r="N134" s="11">
        <f t="shared" si="40"/>
        <v>1672878.3499999999</v>
      </c>
      <c r="O134" s="11">
        <f t="shared" si="41"/>
        <v>1952127.125</v>
      </c>
      <c r="P134" s="12">
        <f>IF(AND(C134="F",M134&lt;O134,SUMIFS(Категории!$Z$5:$Z$11,Категории!$A$5:$A$11,B134)=1),1,0)</f>
        <v>1</v>
      </c>
      <c r="Q134" s="11">
        <f t="shared" si="42"/>
        <v>279248.77500000014</v>
      </c>
      <c r="R134" s="10">
        <f>IF(AND(P134=1,SUMIFS(Категории!$AA$5:$AA$11,Категории!$A$5:$A$11,B134)&gt;0),Q134/SUMIFS(Категории!$AA$5:$AA$11,Категории!$A$5:$A$11,B134),0)</f>
        <v>6.6052688093878972E-2</v>
      </c>
      <c r="S134" s="11">
        <f>R134*SUMIFS(Категории!$AB$5:$AB$11,Категории!$A$5:$A$11,B134)</f>
        <v>45223.935211197793</v>
      </c>
      <c r="T134" s="11">
        <f t="shared" si="43"/>
        <v>45223.935211197793</v>
      </c>
      <c r="U134" s="11">
        <f t="shared" si="44"/>
        <v>13567.180563359338</v>
      </c>
      <c r="V134" s="11">
        <f t="shared" si="45"/>
        <v>58791.115774557133</v>
      </c>
      <c r="W134" s="12">
        <f>IF(AND(C134="F",M134&lt;O134,SUMIFS(Категории!$AH$5:$AH$11,Категории!$A$5:$A$11,B134)=1),1,0)</f>
        <v>1</v>
      </c>
      <c r="X134" s="11">
        <f t="shared" si="46"/>
        <v>279248.77500000014</v>
      </c>
      <c r="Y134" s="10">
        <f>IF(AND(W134=1,SUMIFS(Категории!$AI$5:$AI$11,Категории!$A$5:$A$11,B134)&gt;0),X134/SUMIFS(Категории!$AI$5:$AI$11,Категории!$A$5:$A$11,B134),0)</f>
        <v>6.6052688093878972E-2</v>
      </c>
      <c r="Z134" s="11">
        <f>Y134*SUMIFS(Категории!$AJ$5:$AJ$11,Категории!$A$5:$A$11,B134)</f>
        <v>181501.7478629183</v>
      </c>
      <c r="AA134" s="11">
        <f t="shared" si="47"/>
        <v>181501.7478629183</v>
      </c>
      <c r="AB134" s="11">
        <f t="shared" si="48"/>
        <v>54450.524358875489</v>
      </c>
      <c r="AC134" s="11">
        <f t="shared" si="49"/>
        <v>235952.2722217938</v>
      </c>
      <c r="AD134" s="12">
        <f t="shared" si="50"/>
        <v>12</v>
      </c>
      <c r="AE134" s="12">
        <f t="shared" si="51"/>
        <v>40</v>
      </c>
      <c r="AF134" s="12">
        <f t="shared" si="52"/>
        <v>9</v>
      </c>
      <c r="AG134" s="12">
        <f t="shared" si="53"/>
        <v>19</v>
      </c>
    </row>
    <row r="135" spans="1:33" x14ac:dyDescent="0.3">
      <c r="A135" s="8" t="s">
        <v>196</v>
      </c>
      <c r="B135" s="8" t="s">
        <v>182</v>
      </c>
      <c r="C135" s="8" t="s">
        <v>61</v>
      </c>
      <c r="D135" s="9">
        <v>2746647.84</v>
      </c>
      <c r="E135" s="9">
        <v>196821.97</v>
      </c>
      <c r="F135" s="8">
        <v>18.899999999999999</v>
      </c>
      <c r="G135" s="8">
        <v>8</v>
      </c>
      <c r="H135" s="8">
        <v>1</v>
      </c>
      <c r="I135" s="8">
        <v>12</v>
      </c>
      <c r="J135" s="10">
        <f t="shared" si="36"/>
        <v>1</v>
      </c>
      <c r="K135" s="11">
        <f t="shared" si="37"/>
        <v>2746647.84</v>
      </c>
      <c r="L135" s="11">
        <f t="shared" si="38"/>
        <v>196821.97</v>
      </c>
      <c r="M135" s="11">
        <f t="shared" si="39"/>
        <v>2943469.81</v>
      </c>
      <c r="N135" s="11">
        <f t="shared" si="40"/>
        <v>2943469.81</v>
      </c>
      <c r="O135" s="11">
        <f t="shared" si="41"/>
        <v>1952127.125</v>
      </c>
      <c r="P135" s="12">
        <f>IF(AND(C135="F",M135&lt;O135,SUMIFS(Категории!$Z$5:$Z$11,Категории!$A$5:$A$11,B135)=1),1,0)</f>
        <v>0</v>
      </c>
      <c r="Q135" s="11">
        <f t="shared" si="42"/>
        <v>0</v>
      </c>
      <c r="R135" s="10">
        <f>IF(AND(P135=1,SUMIFS(Категории!$AA$5:$AA$11,Категории!$A$5:$A$11,B135)&gt;0),Q135/SUMIFS(Категории!$AA$5:$AA$11,Категории!$A$5:$A$11,B135),0)</f>
        <v>0</v>
      </c>
      <c r="S135" s="11">
        <f>R135*SUMIFS(Категории!$AB$5:$AB$11,Категории!$A$5:$A$11,B135)</f>
        <v>0</v>
      </c>
      <c r="T135" s="11">
        <f t="shared" si="43"/>
        <v>0</v>
      </c>
      <c r="U135" s="11">
        <f t="shared" si="44"/>
        <v>0</v>
      </c>
      <c r="V135" s="11">
        <f t="shared" si="45"/>
        <v>0</v>
      </c>
      <c r="W135" s="12">
        <f>IF(AND(C135="F",M135&lt;O135,SUMIFS(Категории!$AH$5:$AH$11,Категории!$A$5:$A$11,B135)=1),1,0)</f>
        <v>0</v>
      </c>
      <c r="X135" s="11">
        <f t="shared" si="46"/>
        <v>0</v>
      </c>
      <c r="Y135" s="10">
        <f>IF(AND(W135=1,SUMIFS(Категории!$AI$5:$AI$11,Категории!$A$5:$A$11,B135)&gt;0),X135/SUMIFS(Категории!$AI$5:$AI$11,Категории!$A$5:$A$11,B135),0)</f>
        <v>0</v>
      </c>
      <c r="Z135" s="11">
        <f>Y135*SUMIFS(Категории!$AJ$5:$AJ$11,Категории!$A$5:$A$11,B135)</f>
        <v>0</v>
      </c>
      <c r="AA135" s="11">
        <f t="shared" si="47"/>
        <v>0</v>
      </c>
      <c r="AB135" s="11">
        <f t="shared" si="48"/>
        <v>0</v>
      </c>
      <c r="AC135" s="11">
        <f t="shared" si="49"/>
        <v>0</v>
      </c>
      <c r="AD135" s="12">
        <f t="shared" si="50"/>
        <v>40</v>
      </c>
      <c r="AE135" s="12">
        <f t="shared" si="51"/>
        <v>40</v>
      </c>
      <c r="AF135" s="12">
        <f t="shared" si="52"/>
        <v>21</v>
      </c>
      <c r="AG135" s="12">
        <f t="shared" si="53"/>
        <v>21</v>
      </c>
    </row>
    <row r="136" spans="1:33" x14ac:dyDescent="0.3">
      <c r="A136" s="8" t="s">
        <v>197</v>
      </c>
      <c r="B136" s="8" t="s">
        <v>182</v>
      </c>
      <c r="C136" s="8" t="s">
        <v>66</v>
      </c>
      <c r="D136" s="9">
        <v>1450084.77</v>
      </c>
      <c r="E136" s="9">
        <v>95909.99</v>
      </c>
      <c r="F136" s="8">
        <v>5.5</v>
      </c>
      <c r="G136" s="8">
        <v>4</v>
      </c>
      <c r="H136" s="8">
        <v>1</v>
      </c>
      <c r="I136" s="8">
        <v>12</v>
      </c>
      <c r="J136" s="10">
        <f t="shared" si="36"/>
        <v>1</v>
      </c>
      <c r="K136" s="11">
        <f t="shared" si="37"/>
        <v>1450084.77</v>
      </c>
      <c r="L136" s="11">
        <f t="shared" si="38"/>
        <v>95909.99</v>
      </c>
      <c r="M136" s="11">
        <f t="shared" si="39"/>
        <v>1545994.76</v>
      </c>
      <c r="N136" s="11">
        <f t="shared" si="40"/>
        <v>1545994.76</v>
      </c>
      <c r="O136" s="11">
        <f t="shared" si="41"/>
        <v>1952127.125</v>
      </c>
      <c r="P136" s="12">
        <f>IF(AND(C136="F",M136&lt;O136,SUMIFS(Категории!$Z$5:$Z$11,Категории!$A$5:$A$11,B136)=1),1,0)</f>
        <v>1</v>
      </c>
      <c r="Q136" s="11">
        <f t="shared" si="42"/>
        <v>406132.36499999999</v>
      </c>
      <c r="R136" s="10">
        <f>IF(AND(P136=1,SUMIFS(Категории!$AA$5:$AA$11,Категории!$A$5:$A$11,B136)&gt;0),Q136/SUMIFS(Категории!$AA$5:$AA$11,Категории!$A$5:$A$11,B136),0)</f>
        <v>9.6065361182602838E-2</v>
      </c>
      <c r="S136" s="11">
        <f>R136*SUMIFS(Категории!$AB$5:$AB$11,Категории!$A$5:$A$11,B136)</f>
        <v>65772.549089715874</v>
      </c>
      <c r="T136" s="11">
        <f t="shared" si="43"/>
        <v>65772.549089715874</v>
      </c>
      <c r="U136" s="11">
        <f t="shared" si="44"/>
        <v>19731.76472691476</v>
      </c>
      <c r="V136" s="11">
        <f t="shared" si="45"/>
        <v>85504.313816630631</v>
      </c>
      <c r="W136" s="12">
        <f>IF(AND(C136="F",M136&lt;O136,SUMIFS(Категории!$AH$5:$AH$11,Категории!$A$5:$A$11,B136)=1),1,0)</f>
        <v>1</v>
      </c>
      <c r="X136" s="11">
        <f t="shared" si="46"/>
        <v>406132.36499999999</v>
      </c>
      <c r="Y136" s="10">
        <f>IF(AND(W136=1,SUMIFS(Категории!$AI$5:$AI$11,Категории!$A$5:$A$11,B136)&gt;0),X136/SUMIFS(Категории!$AI$5:$AI$11,Категории!$A$5:$A$11,B136),0)</f>
        <v>9.6065361182602838E-2</v>
      </c>
      <c r="Z136" s="11">
        <f>Y136*SUMIFS(Категории!$AJ$5:$AJ$11,Категории!$A$5:$A$11,B136)</f>
        <v>263971.55765929737</v>
      </c>
      <c r="AA136" s="11">
        <f t="shared" si="47"/>
        <v>263971.55765929737</v>
      </c>
      <c r="AB136" s="11">
        <f t="shared" si="48"/>
        <v>79191.467297789204</v>
      </c>
      <c r="AC136" s="11">
        <f t="shared" si="49"/>
        <v>343163.02495708654</v>
      </c>
      <c r="AD136" s="12">
        <f t="shared" si="50"/>
        <v>6</v>
      </c>
      <c r="AE136" s="12">
        <f t="shared" si="51"/>
        <v>40</v>
      </c>
      <c r="AF136" s="12">
        <f t="shared" si="52"/>
        <v>5</v>
      </c>
      <c r="AG136" s="12">
        <f t="shared" si="53"/>
        <v>19</v>
      </c>
    </row>
    <row r="137" spans="1:33" x14ac:dyDescent="0.3">
      <c r="A137" s="8" t="s">
        <v>198</v>
      </c>
      <c r="B137" s="8" t="s">
        <v>182</v>
      </c>
      <c r="C137" s="8" t="s">
        <v>66</v>
      </c>
      <c r="D137" s="9">
        <v>757471.71</v>
      </c>
      <c r="E137" s="9">
        <v>51210.29</v>
      </c>
      <c r="F137" s="8">
        <v>6.2</v>
      </c>
      <c r="G137" s="8">
        <v>5</v>
      </c>
      <c r="H137" s="8">
        <v>0.5</v>
      </c>
      <c r="I137" s="8">
        <v>12</v>
      </c>
      <c r="J137" s="10">
        <f t="shared" si="36"/>
        <v>0.5</v>
      </c>
      <c r="K137" s="11">
        <f t="shared" si="37"/>
        <v>1514943.42</v>
      </c>
      <c r="L137" s="11">
        <f t="shared" si="38"/>
        <v>102420.58</v>
      </c>
      <c r="M137" s="11">
        <f t="shared" si="39"/>
        <v>1617364</v>
      </c>
      <c r="N137" s="11">
        <f t="shared" si="40"/>
        <v>808682</v>
      </c>
      <c r="O137" s="11">
        <f t="shared" si="41"/>
        <v>1952127.125</v>
      </c>
      <c r="P137" s="12">
        <f>IF(AND(C137="F",M137&lt;O137,SUMIFS(Категории!$Z$5:$Z$11,Категории!$A$5:$A$11,B137)=1),1,0)</f>
        <v>1</v>
      </c>
      <c r="Q137" s="11">
        <f t="shared" si="42"/>
        <v>334763.125</v>
      </c>
      <c r="R137" s="10">
        <f>IF(AND(P137=1,SUMIFS(Категории!$AA$5:$AA$11,Категории!$A$5:$A$11,B137)&gt;0),Q137/SUMIFS(Категории!$AA$5:$AA$11,Категории!$A$5:$A$11,B137),0)</f>
        <v>7.9183889995425069E-2</v>
      </c>
      <c r="S137" s="11">
        <f>R137*SUMIFS(Категории!$AB$5:$AB$11,Категории!$A$5:$A$11,B137)</f>
        <v>54214.403898810655</v>
      </c>
      <c r="T137" s="11">
        <f t="shared" si="43"/>
        <v>27107.201949405327</v>
      </c>
      <c r="U137" s="11">
        <f t="shared" si="44"/>
        <v>8132.1605848215977</v>
      </c>
      <c r="V137" s="11">
        <f t="shared" si="45"/>
        <v>35239.362534226922</v>
      </c>
      <c r="W137" s="12">
        <f>IF(AND(C137="F",M137&lt;O137,SUMIFS(Категории!$AH$5:$AH$11,Категории!$A$5:$A$11,B137)=1),1,0)</f>
        <v>1</v>
      </c>
      <c r="X137" s="11">
        <f t="shared" si="46"/>
        <v>334763.125</v>
      </c>
      <c r="Y137" s="10">
        <f>IF(AND(W137=1,SUMIFS(Категории!$AI$5:$AI$11,Категории!$A$5:$A$11,B137)&gt;0),X137/SUMIFS(Категории!$AI$5:$AI$11,Категории!$A$5:$A$11,B137),0)</f>
        <v>7.9183889995425069E-2</v>
      </c>
      <c r="Z137" s="11">
        <f>Y137*SUMIFS(Категории!$AJ$5:$AJ$11,Категории!$A$5:$A$11,B137)</f>
        <v>217584.09614349273</v>
      </c>
      <c r="AA137" s="11">
        <f t="shared" si="47"/>
        <v>108792.04807174637</v>
      </c>
      <c r="AB137" s="11">
        <f t="shared" si="48"/>
        <v>32637.614421523907</v>
      </c>
      <c r="AC137" s="11">
        <f t="shared" si="49"/>
        <v>141429.66249327027</v>
      </c>
      <c r="AD137" s="12">
        <f t="shared" si="50"/>
        <v>9</v>
      </c>
      <c r="AE137" s="12">
        <f t="shared" si="51"/>
        <v>40</v>
      </c>
      <c r="AF137" s="12">
        <f t="shared" si="52"/>
        <v>7</v>
      </c>
      <c r="AG137" s="12">
        <f t="shared" si="53"/>
        <v>19</v>
      </c>
    </row>
    <row r="138" spans="1:33" x14ac:dyDescent="0.3">
      <c r="A138" s="8" t="s">
        <v>199</v>
      </c>
      <c r="B138" s="8" t="s">
        <v>182</v>
      </c>
      <c r="C138" s="8" t="s">
        <v>66</v>
      </c>
      <c r="D138" s="9">
        <v>1579788.97</v>
      </c>
      <c r="E138" s="9">
        <v>79755.149999999994</v>
      </c>
      <c r="F138" s="8">
        <v>9.9</v>
      </c>
      <c r="G138" s="8">
        <v>4</v>
      </c>
      <c r="H138" s="8">
        <v>1</v>
      </c>
      <c r="I138" s="8">
        <v>12</v>
      </c>
      <c r="J138" s="10">
        <f t="shared" si="36"/>
        <v>1</v>
      </c>
      <c r="K138" s="11">
        <f t="shared" si="37"/>
        <v>1579788.97</v>
      </c>
      <c r="L138" s="11">
        <f t="shared" si="38"/>
        <v>79755.149999999994</v>
      </c>
      <c r="M138" s="11">
        <f t="shared" si="39"/>
        <v>1659544.1199999999</v>
      </c>
      <c r="N138" s="11">
        <f t="shared" si="40"/>
        <v>1659544.1199999999</v>
      </c>
      <c r="O138" s="11">
        <f t="shared" si="41"/>
        <v>1952127.125</v>
      </c>
      <c r="P138" s="12">
        <f>IF(AND(C138="F",M138&lt;O138,SUMIFS(Категории!$Z$5:$Z$11,Категории!$A$5:$A$11,B138)=1),1,0)</f>
        <v>1</v>
      </c>
      <c r="Q138" s="11">
        <f t="shared" si="42"/>
        <v>292583.00500000012</v>
      </c>
      <c r="R138" s="10">
        <f>IF(AND(P138=1,SUMIFS(Категории!$AA$5:$AA$11,Категории!$A$5:$A$11,B138)&gt;0),Q138/SUMIFS(Категории!$AA$5:$AA$11,Категории!$A$5:$A$11,B138),0)</f>
        <v>6.9206727839127777E-2</v>
      </c>
      <c r="S138" s="11">
        <f>R138*SUMIFS(Категории!$AB$5:$AB$11,Категории!$A$5:$A$11,B138)</f>
        <v>47383.394473324217</v>
      </c>
      <c r="T138" s="11">
        <f t="shared" si="43"/>
        <v>47383.394473324217</v>
      </c>
      <c r="U138" s="11">
        <f t="shared" si="44"/>
        <v>14215.018341997265</v>
      </c>
      <c r="V138" s="11">
        <f t="shared" si="45"/>
        <v>61598.412815321484</v>
      </c>
      <c r="W138" s="12">
        <f>IF(AND(C138="F",M138&lt;O138,SUMIFS(Категории!$AH$5:$AH$11,Категории!$A$5:$A$11,B138)=1),1,0)</f>
        <v>1</v>
      </c>
      <c r="X138" s="11">
        <f t="shared" si="46"/>
        <v>292583.00500000012</v>
      </c>
      <c r="Y138" s="10">
        <f>IF(AND(W138=1,SUMIFS(Категории!$AI$5:$AI$11,Категории!$A$5:$A$11,B138)&gt;0),X138/SUMIFS(Категории!$AI$5:$AI$11,Категории!$A$5:$A$11,B138),0)</f>
        <v>6.9206727839127777E-2</v>
      </c>
      <c r="Z138" s="11">
        <f>Y138*SUMIFS(Категории!$AJ$5:$AJ$11,Категории!$A$5:$A$11,B138)</f>
        <v>190168.52196570946</v>
      </c>
      <c r="AA138" s="11">
        <f t="shared" si="47"/>
        <v>190168.52196570946</v>
      </c>
      <c r="AB138" s="11">
        <f t="shared" si="48"/>
        <v>57050.556589712833</v>
      </c>
      <c r="AC138" s="11">
        <f t="shared" si="49"/>
        <v>247219.07855542228</v>
      </c>
      <c r="AD138" s="12">
        <f t="shared" si="50"/>
        <v>11</v>
      </c>
      <c r="AE138" s="12">
        <f t="shared" si="51"/>
        <v>40</v>
      </c>
      <c r="AF138" s="12">
        <f t="shared" si="52"/>
        <v>8</v>
      </c>
      <c r="AG138" s="12">
        <f t="shared" si="53"/>
        <v>19</v>
      </c>
    </row>
    <row r="139" spans="1:33" x14ac:dyDescent="0.3">
      <c r="A139" s="8" t="s">
        <v>200</v>
      </c>
      <c r="B139" s="8" t="s">
        <v>182</v>
      </c>
      <c r="C139" s="8" t="s">
        <v>66</v>
      </c>
      <c r="D139" s="9">
        <v>2068748.79</v>
      </c>
      <c r="E139" s="9">
        <v>148209.23000000001</v>
      </c>
      <c r="F139" s="8">
        <v>15.1</v>
      </c>
      <c r="G139" s="8">
        <v>7</v>
      </c>
      <c r="H139" s="8">
        <v>1</v>
      </c>
      <c r="I139" s="8">
        <v>12</v>
      </c>
      <c r="J139" s="10">
        <f t="shared" si="36"/>
        <v>1</v>
      </c>
      <c r="K139" s="11">
        <f t="shared" si="37"/>
        <v>2068748.79</v>
      </c>
      <c r="L139" s="11">
        <f t="shared" si="38"/>
        <v>148209.23000000001</v>
      </c>
      <c r="M139" s="11">
        <f t="shared" si="39"/>
        <v>2216958.02</v>
      </c>
      <c r="N139" s="11">
        <f t="shared" si="40"/>
        <v>2216958.02</v>
      </c>
      <c r="O139" s="11">
        <f t="shared" si="41"/>
        <v>1952127.125</v>
      </c>
      <c r="P139" s="12">
        <f>IF(AND(C139="F",M139&lt;O139,SUMIFS(Категории!$Z$5:$Z$11,Категории!$A$5:$A$11,B139)=1),1,0)</f>
        <v>0</v>
      </c>
      <c r="Q139" s="11">
        <f t="shared" si="42"/>
        <v>0</v>
      </c>
      <c r="R139" s="10">
        <f>IF(AND(P139=1,SUMIFS(Категории!$AA$5:$AA$11,Категории!$A$5:$A$11,B139)&gt;0),Q139/SUMIFS(Категории!$AA$5:$AA$11,Категории!$A$5:$A$11,B139),0)</f>
        <v>0</v>
      </c>
      <c r="S139" s="11">
        <f>R139*SUMIFS(Категории!$AB$5:$AB$11,Категории!$A$5:$A$11,B139)</f>
        <v>0</v>
      </c>
      <c r="T139" s="11">
        <f t="shared" si="43"/>
        <v>0</v>
      </c>
      <c r="U139" s="11">
        <f t="shared" si="44"/>
        <v>0</v>
      </c>
      <c r="V139" s="11">
        <f t="shared" si="45"/>
        <v>0</v>
      </c>
      <c r="W139" s="12">
        <f>IF(AND(C139="F",M139&lt;O139,SUMIFS(Категории!$AH$5:$AH$11,Категории!$A$5:$A$11,B139)=1),1,0)</f>
        <v>0</v>
      </c>
      <c r="X139" s="11">
        <f t="shared" si="46"/>
        <v>0</v>
      </c>
      <c r="Y139" s="10">
        <f>IF(AND(W139=1,SUMIFS(Категории!$AI$5:$AI$11,Категории!$A$5:$A$11,B139)&gt;0),X139/SUMIFS(Категории!$AI$5:$AI$11,Категории!$A$5:$A$11,B139),0)</f>
        <v>0</v>
      </c>
      <c r="Z139" s="11">
        <f>Y139*SUMIFS(Категории!$AJ$5:$AJ$11,Категории!$A$5:$A$11,B139)</f>
        <v>0</v>
      </c>
      <c r="AA139" s="11">
        <f t="shared" si="47"/>
        <v>0</v>
      </c>
      <c r="AB139" s="11">
        <f t="shared" si="48"/>
        <v>0</v>
      </c>
      <c r="AC139" s="11">
        <f t="shared" si="49"/>
        <v>0</v>
      </c>
      <c r="AD139" s="12">
        <f t="shared" si="50"/>
        <v>28</v>
      </c>
      <c r="AE139" s="12">
        <f t="shared" si="51"/>
        <v>40</v>
      </c>
      <c r="AF139" s="12">
        <f t="shared" si="52"/>
        <v>17</v>
      </c>
      <c r="AG139" s="12">
        <f t="shared" si="53"/>
        <v>19</v>
      </c>
    </row>
    <row r="140" spans="1:33" x14ac:dyDescent="0.3">
      <c r="A140" s="8" t="s">
        <v>201</v>
      </c>
      <c r="B140" s="8" t="s">
        <v>182</v>
      </c>
      <c r="C140" s="8" t="s">
        <v>66</v>
      </c>
      <c r="D140" s="9">
        <v>2562442.46</v>
      </c>
      <c r="E140" s="9">
        <v>120317.56</v>
      </c>
      <c r="F140" s="8">
        <v>14.9</v>
      </c>
      <c r="G140" s="8">
        <v>8</v>
      </c>
      <c r="H140" s="8">
        <v>1</v>
      </c>
      <c r="I140" s="8">
        <v>12</v>
      </c>
      <c r="J140" s="10">
        <f t="shared" si="36"/>
        <v>1</v>
      </c>
      <c r="K140" s="11">
        <f t="shared" si="37"/>
        <v>2562442.46</v>
      </c>
      <c r="L140" s="11">
        <f t="shared" si="38"/>
        <v>120317.56</v>
      </c>
      <c r="M140" s="11">
        <f t="shared" si="39"/>
        <v>2682760.02</v>
      </c>
      <c r="N140" s="11">
        <f t="shared" si="40"/>
        <v>2682760.02</v>
      </c>
      <c r="O140" s="11">
        <f t="shared" si="41"/>
        <v>1952127.125</v>
      </c>
      <c r="P140" s="12">
        <f>IF(AND(C140="F",M140&lt;O140,SUMIFS(Категории!$Z$5:$Z$11,Категории!$A$5:$A$11,B140)=1),1,0)</f>
        <v>0</v>
      </c>
      <c r="Q140" s="11">
        <f t="shared" si="42"/>
        <v>0</v>
      </c>
      <c r="R140" s="10">
        <f>IF(AND(P140=1,SUMIFS(Категории!$AA$5:$AA$11,Категории!$A$5:$A$11,B140)&gt;0),Q140/SUMIFS(Категории!$AA$5:$AA$11,Категории!$A$5:$A$11,B140),0)</f>
        <v>0</v>
      </c>
      <c r="S140" s="11">
        <f>R140*SUMIFS(Категории!$AB$5:$AB$11,Категории!$A$5:$A$11,B140)</f>
        <v>0</v>
      </c>
      <c r="T140" s="11">
        <f t="shared" si="43"/>
        <v>0</v>
      </c>
      <c r="U140" s="11">
        <f t="shared" si="44"/>
        <v>0</v>
      </c>
      <c r="V140" s="11">
        <f t="shared" si="45"/>
        <v>0</v>
      </c>
      <c r="W140" s="12">
        <f>IF(AND(C140="F",M140&lt;O140,SUMIFS(Категории!$AH$5:$AH$11,Категории!$A$5:$A$11,B140)=1),1,0)</f>
        <v>0</v>
      </c>
      <c r="X140" s="11">
        <f t="shared" si="46"/>
        <v>0</v>
      </c>
      <c r="Y140" s="10">
        <f>IF(AND(W140=1,SUMIFS(Категории!$AI$5:$AI$11,Категории!$A$5:$A$11,B140)&gt;0),X140/SUMIFS(Категории!$AI$5:$AI$11,Категории!$A$5:$A$11,B140),0)</f>
        <v>0</v>
      </c>
      <c r="Z140" s="11">
        <f>Y140*SUMIFS(Категории!$AJ$5:$AJ$11,Категории!$A$5:$A$11,B140)</f>
        <v>0</v>
      </c>
      <c r="AA140" s="11">
        <f t="shared" si="47"/>
        <v>0</v>
      </c>
      <c r="AB140" s="11">
        <f t="shared" si="48"/>
        <v>0</v>
      </c>
      <c r="AC140" s="11">
        <f t="shared" si="49"/>
        <v>0</v>
      </c>
      <c r="AD140" s="12">
        <f t="shared" si="50"/>
        <v>38</v>
      </c>
      <c r="AE140" s="12">
        <f t="shared" si="51"/>
        <v>40</v>
      </c>
      <c r="AF140" s="12">
        <f t="shared" si="52"/>
        <v>19</v>
      </c>
      <c r="AG140" s="12">
        <f t="shared" si="53"/>
        <v>19</v>
      </c>
    </row>
    <row r="141" spans="1:33" x14ac:dyDescent="0.3">
      <c r="A141" s="8" t="s">
        <v>202</v>
      </c>
      <c r="B141" s="8" t="s">
        <v>182</v>
      </c>
      <c r="C141" s="8" t="s">
        <v>61</v>
      </c>
      <c r="D141" s="9">
        <v>2256138.91</v>
      </c>
      <c r="E141" s="9">
        <v>154297.97</v>
      </c>
      <c r="F141" s="8">
        <v>13</v>
      </c>
      <c r="G141" s="8">
        <v>7</v>
      </c>
      <c r="H141" s="8">
        <v>1</v>
      </c>
      <c r="I141" s="8">
        <v>12</v>
      </c>
      <c r="J141" s="10">
        <f t="shared" si="36"/>
        <v>1</v>
      </c>
      <c r="K141" s="11">
        <f t="shared" si="37"/>
        <v>2256138.91</v>
      </c>
      <c r="L141" s="11">
        <f t="shared" si="38"/>
        <v>154297.97</v>
      </c>
      <c r="M141" s="11">
        <f t="shared" si="39"/>
        <v>2410436.8800000004</v>
      </c>
      <c r="N141" s="11">
        <f t="shared" si="40"/>
        <v>2410436.8800000004</v>
      </c>
      <c r="O141" s="11">
        <f t="shared" si="41"/>
        <v>1952127.125</v>
      </c>
      <c r="P141" s="12">
        <f>IF(AND(C141="F",M141&lt;O141,SUMIFS(Категории!$Z$5:$Z$11,Категории!$A$5:$A$11,B141)=1),1,0)</f>
        <v>0</v>
      </c>
      <c r="Q141" s="11">
        <f t="shared" si="42"/>
        <v>0</v>
      </c>
      <c r="R141" s="10">
        <f>IF(AND(P141=1,SUMIFS(Категории!$AA$5:$AA$11,Категории!$A$5:$A$11,B141)&gt;0),Q141/SUMIFS(Категории!$AA$5:$AA$11,Категории!$A$5:$A$11,B141),0)</f>
        <v>0</v>
      </c>
      <c r="S141" s="11">
        <f>R141*SUMIFS(Категории!$AB$5:$AB$11,Категории!$A$5:$A$11,B141)</f>
        <v>0</v>
      </c>
      <c r="T141" s="11">
        <f t="shared" si="43"/>
        <v>0</v>
      </c>
      <c r="U141" s="11">
        <f t="shared" si="44"/>
        <v>0</v>
      </c>
      <c r="V141" s="11">
        <f t="shared" si="45"/>
        <v>0</v>
      </c>
      <c r="W141" s="12">
        <f>IF(AND(C141="F",M141&lt;O141,SUMIFS(Категории!$AH$5:$AH$11,Категории!$A$5:$A$11,B141)=1),1,0)</f>
        <v>0</v>
      </c>
      <c r="X141" s="11">
        <f t="shared" si="46"/>
        <v>0</v>
      </c>
      <c r="Y141" s="10">
        <f>IF(AND(W141=1,SUMIFS(Категории!$AI$5:$AI$11,Категории!$A$5:$A$11,B141)&gt;0),X141/SUMIFS(Категории!$AI$5:$AI$11,Категории!$A$5:$A$11,B141),0)</f>
        <v>0</v>
      </c>
      <c r="Z141" s="11">
        <f>Y141*SUMIFS(Категории!$AJ$5:$AJ$11,Категории!$A$5:$A$11,B141)</f>
        <v>0</v>
      </c>
      <c r="AA141" s="11">
        <f t="shared" si="47"/>
        <v>0</v>
      </c>
      <c r="AB141" s="11">
        <f t="shared" si="48"/>
        <v>0</v>
      </c>
      <c r="AC141" s="11">
        <f t="shared" si="49"/>
        <v>0</v>
      </c>
      <c r="AD141" s="12">
        <f t="shared" si="50"/>
        <v>33</v>
      </c>
      <c r="AE141" s="12">
        <f t="shared" si="51"/>
        <v>40</v>
      </c>
      <c r="AF141" s="12">
        <f t="shared" si="52"/>
        <v>15</v>
      </c>
      <c r="AG141" s="12">
        <f t="shared" si="53"/>
        <v>21</v>
      </c>
    </row>
    <row r="142" spans="1:33" x14ac:dyDescent="0.3">
      <c r="A142" s="8" t="s">
        <v>203</v>
      </c>
      <c r="B142" s="8" t="s">
        <v>182</v>
      </c>
      <c r="C142" s="8" t="s">
        <v>61</v>
      </c>
      <c r="D142" s="9">
        <v>1120886.17</v>
      </c>
      <c r="E142" s="9">
        <v>59374.879999999997</v>
      </c>
      <c r="F142" s="8">
        <v>12.1</v>
      </c>
      <c r="G142" s="8">
        <v>7</v>
      </c>
      <c r="H142" s="8">
        <v>0.5</v>
      </c>
      <c r="I142" s="8">
        <v>12</v>
      </c>
      <c r="J142" s="10">
        <f t="shared" si="36"/>
        <v>0.5</v>
      </c>
      <c r="K142" s="11">
        <f t="shared" si="37"/>
        <v>2241772.34</v>
      </c>
      <c r="L142" s="11">
        <f t="shared" si="38"/>
        <v>118749.75999999999</v>
      </c>
      <c r="M142" s="11">
        <f t="shared" si="39"/>
        <v>2360522.0999999996</v>
      </c>
      <c r="N142" s="11">
        <f t="shared" si="40"/>
        <v>1180261.0499999998</v>
      </c>
      <c r="O142" s="11">
        <f t="shared" si="41"/>
        <v>1952127.125</v>
      </c>
      <c r="P142" s="12">
        <f>IF(AND(C142="F",M142&lt;O142,SUMIFS(Категории!$Z$5:$Z$11,Категории!$A$5:$A$11,B142)=1),1,0)</f>
        <v>0</v>
      </c>
      <c r="Q142" s="11">
        <f t="shared" si="42"/>
        <v>0</v>
      </c>
      <c r="R142" s="10">
        <f>IF(AND(P142=1,SUMIFS(Категории!$AA$5:$AA$11,Категории!$A$5:$A$11,B142)&gt;0),Q142/SUMIFS(Категории!$AA$5:$AA$11,Категории!$A$5:$A$11,B142),0)</f>
        <v>0</v>
      </c>
      <c r="S142" s="11">
        <f>R142*SUMIFS(Категории!$AB$5:$AB$11,Категории!$A$5:$A$11,B142)</f>
        <v>0</v>
      </c>
      <c r="T142" s="11">
        <f t="shared" si="43"/>
        <v>0</v>
      </c>
      <c r="U142" s="11">
        <f t="shared" si="44"/>
        <v>0</v>
      </c>
      <c r="V142" s="11">
        <f t="shared" si="45"/>
        <v>0</v>
      </c>
      <c r="W142" s="12">
        <f>IF(AND(C142="F",M142&lt;O142,SUMIFS(Категории!$AH$5:$AH$11,Категории!$A$5:$A$11,B142)=1),1,0)</f>
        <v>0</v>
      </c>
      <c r="X142" s="11">
        <f t="shared" si="46"/>
        <v>0</v>
      </c>
      <c r="Y142" s="10">
        <f>IF(AND(W142=1,SUMIFS(Категории!$AI$5:$AI$11,Категории!$A$5:$A$11,B142)&gt;0),X142/SUMIFS(Категории!$AI$5:$AI$11,Категории!$A$5:$A$11,B142),0)</f>
        <v>0</v>
      </c>
      <c r="Z142" s="11">
        <f>Y142*SUMIFS(Категории!$AJ$5:$AJ$11,Категории!$A$5:$A$11,B142)</f>
        <v>0</v>
      </c>
      <c r="AA142" s="11">
        <f t="shared" si="47"/>
        <v>0</v>
      </c>
      <c r="AB142" s="11">
        <f t="shared" si="48"/>
        <v>0</v>
      </c>
      <c r="AC142" s="11">
        <f t="shared" si="49"/>
        <v>0</v>
      </c>
      <c r="AD142" s="12">
        <f t="shared" si="50"/>
        <v>32</v>
      </c>
      <c r="AE142" s="12">
        <f t="shared" si="51"/>
        <v>40</v>
      </c>
      <c r="AF142" s="12">
        <f t="shared" si="52"/>
        <v>14</v>
      </c>
      <c r="AG142" s="12">
        <f t="shared" si="53"/>
        <v>21</v>
      </c>
    </row>
    <row r="143" spans="1:33" x14ac:dyDescent="0.3">
      <c r="A143" s="8" t="s">
        <v>204</v>
      </c>
      <c r="B143" s="8" t="s">
        <v>182</v>
      </c>
      <c r="C143" s="8" t="s">
        <v>66</v>
      </c>
      <c r="D143" s="9">
        <v>1424954.18</v>
      </c>
      <c r="E143" s="9">
        <v>69154.75</v>
      </c>
      <c r="F143" s="8">
        <v>8.1999999999999993</v>
      </c>
      <c r="G143" s="8">
        <v>4</v>
      </c>
      <c r="H143" s="8">
        <v>1</v>
      </c>
      <c r="I143" s="8">
        <v>12</v>
      </c>
      <c r="J143" s="10">
        <f t="shared" si="36"/>
        <v>1</v>
      </c>
      <c r="K143" s="11">
        <f t="shared" si="37"/>
        <v>1424954.18</v>
      </c>
      <c r="L143" s="11">
        <f t="shared" si="38"/>
        <v>69154.75</v>
      </c>
      <c r="M143" s="11">
        <f t="shared" si="39"/>
        <v>1494108.93</v>
      </c>
      <c r="N143" s="11">
        <f t="shared" si="40"/>
        <v>1494108.93</v>
      </c>
      <c r="O143" s="11">
        <f t="shared" si="41"/>
        <v>1952127.125</v>
      </c>
      <c r="P143" s="12">
        <f>IF(AND(C143="F",M143&lt;O143,SUMIFS(Категории!$Z$5:$Z$11,Категории!$A$5:$A$11,B143)=1),1,0)</f>
        <v>1</v>
      </c>
      <c r="Q143" s="11">
        <f t="shared" si="42"/>
        <v>458018.19500000007</v>
      </c>
      <c r="R143" s="10">
        <f>IF(AND(P143=1,SUMIFS(Категории!$AA$5:$AA$11,Категории!$A$5:$A$11,B143)&gt;0),Q143/SUMIFS(Категории!$AA$5:$AA$11,Категории!$A$5:$A$11,B143),0)</f>
        <v>0.10833828358121329</v>
      </c>
      <c r="S143" s="11">
        <f>R143*SUMIFS(Категории!$AB$5:$AB$11,Категории!$A$5:$A$11,B143)</f>
        <v>74175.384211550248</v>
      </c>
      <c r="T143" s="11">
        <f t="shared" si="43"/>
        <v>74175.384211550248</v>
      </c>
      <c r="U143" s="11">
        <f t="shared" si="44"/>
        <v>22252.615263465075</v>
      </c>
      <c r="V143" s="11">
        <f t="shared" si="45"/>
        <v>96427.999475015327</v>
      </c>
      <c r="W143" s="12">
        <f>IF(AND(C143="F",M143&lt;O143,SUMIFS(Категории!$AH$5:$AH$11,Категории!$A$5:$A$11,B143)=1),1,0)</f>
        <v>1</v>
      </c>
      <c r="X143" s="11">
        <f t="shared" si="46"/>
        <v>458018.19500000007</v>
      </c>
      <c r="Y143" s="10">
        <f>IF(AND(W143=1,SUMIFS(Категории!$AI$5:$AI$11,Категории!$A$5:$A$11,B143)&gt;0),X143/SUMIFS(Категории!$AI$5:$AI$11,Категории!$A$5:$A$11,B143),0)</f>
        <v>0.10833828358121329</v>
      </c>
      <c r="Z143" s="11">
        <f>Y143*SUMIFS(Категории!$AJ$5:$AJ$11,Категории!$A$5:$A$11,B143)</f>
        <v>297695.49730529316</v>
      </c>
      <c r="AA143" s="11">
        <f t="shared" si="47"/>
        <v>297695.49730529316</v>
      </c>
      <c r="AB143" s="11">
        <f t="shared" si="48"/>
        <v>89308.649191587945</v>
      </c>
      <c r="AC143" s="11">
        <f t="shared" si="49"/>
        <v>387004.14649688109</v>
      </c>
      <c r="AD143" s="12">
        <f t="shared" si="50"/>
        <v>3</v>
      </c>
      <c r="AE143" s="12">
        <f t="shared" si="51"/>
        <v>40</v>
      </c>
      <c r="AF143" s="12">
        <f t="shared" si="52"/>
        <v>3</v>
      </c>
      <c r="AG143" s="12">
        <f t="shared" si="53"/>
        <v>19</v>
      </c>
    </row>
    <row r="144" spans="1:33" x14ac:dyDescent="0.3">
      <c r="A144" s="8" t="s">
        <v>205</v>
      </c>
      <c r="B144" s="8" t="s">
        <v>182</v>
      </c>
      <c r="C144" s="8" t="s">
        <v>61</v>
      </c>
      <c r="D144" s="9">
        <v>1498903.22</v>
      </c>
      <c r="E144" s="9">
        <v>103974.48</v>
      </c>
      <c r="F144" s="8">
        <v>4.2</v>
      </c>
      <c r="G144" s="8">
        <v>5</v>
      </c>
      <c r="H144" s="8">
        <v>1</v>
      </c>
      <c r="I144" s="8">
        <v>12</v>
      </c>
      <c r="J144" s="10">
        <f t="shared" si="36"/>
        <v>1</v>
      </c>
      <c r="K144" s="11">
        <f t="shared" si="37"/>
        <v>1498903.22</v>
      </c>
      <c r="L144" s="11">
        <f t="shared" si="38"/>
        <v>103974.48</v>
      </c>
      <c r="M144" s="11">
        <f t="shared" si="39"/>
        <v>1602877.7</v>
      </c>
      <c r="N144" s="11">
        <f t="shared" si="40"/>
        <v>1602877.7</v>
      </c>
      <c r="O144" s="11">
        <f t="shared" si="41"/>
        <v>1952127.125</v>
      </c>
      <c r="P144" s="12">
        <f>IF(AND(C144="F",M144&lt;O144,SUMIFS(Категории!$Z$5:$Z$11,Категории!$A$5:$A$11,B144)=1),1,0)</f>
        <v>0</v>
      </c>
      <c r="Q144" s="11">
        <f t="shared" si="42"/>
        <v>0</v>
      </c>
      <c r="R144" s="10">
        <f>IF(AND(P144=1,SUMIFS(Категории!$AA$5:$AA$11,Категории!$A$5:$A$11,B144)&gt;0),Q144/SUMIFS(Категории!$AA$5:$AA$11,Категории!$A$5:$A$11,B144),0)</f>
        <v>0</v>
      </c>
      <c r="S144" s="11">
        <f>R144*SUMIFS(Категории!$AB$5:$AB$11,Категории!$A$5:$A$11,B144)</f>
        <v>0</v>
      </c>
      <c r="T144" s="11">
        <f t="shared" si="43"/>
        <v>0</v>
      </c>
      <c r="U144" s="11">
        <f t="shared" si="44"/>
        <v>0</v>
      </c>
      <c r="V144" s="11">
        <f t="shared" si="45"/>
        <v>0</v>
      </c>
      <c r="W144" s="12">
        <f>IF(AND(C144="F",M144&lt;O144,SUMIFS(Категории!$AH$5:$AH$11,Категории!$A$5:$A$11,B144)=1),1,0)</f>
        <v>0</v>
      </c>
      <c r="X144" s="11">
        <f t="shared" si="46"/>
        <v>0</v>
      </c>
      <c r="Y144" s="10">
        <f>IF(AND(W144=1,SUMIFS(Категории!$AI$5:$AI$11,Категории!$A$5:$A$11,B144)&gt;0),X144/SUMIFS(Категории!$AI$5:$AI$11,Категории!$A$5:$A$11,B144),0)</f>
        <v>0</v>
      </c>
      <c r="Z144" s="11">
        <f>Y144*SUMIFS(Категории!$AJ$5:$AJ$11,Категории!$A$5:$A$11,B144)</f>
        <v>0</v>
      </c>
      <c r="AA144" s="11">
        <f t="shared" si="47"/>
        <v>0</v>
      </c>
      <c r="AB144" s="11">
        <f t="shared" si="48"/>
        <v>0</v>
      </c>
      <c r="AC144" s="11">
        <f t="shared" si="49"/>
        <v>0</v>
      </c>
      <c r="AD144" s="12">
        <f t="shared" si="50"/>
        <v>8</v>
      </c>
      <c r="AE144" s="12">
        <f t="shared" si="51"/>
        <v>40</v>
      </c>
      <c r="AF144" s="12">
        <f t="shared" si="52"/>
        <v>2</v>
      </c>
      <c r="AG144" s="12">
        <f t="shared" si="53"/>
        <v>21</v>
      </c>
    </row>
    <row r="145" spans="1:33" x14ac:dyDescent="0.3">
      <c r="A145" s="8" t="s">
        <v>206</v>
      </c>
      <c r="B145" s="8" t="s">
        <v>182</v>
      </c>
      <c r="C145" s="8" t="s">
        <v>61</v>
      </c>
      <c r="D145" s="9">
        <v>2312888.13</v>
      </c>
      <c r="E145" s="9">
        <v>166955.41</v>
      </c>
      <c r="F145" s="8">
        <v>13</v>
      </c>
      <c r="G145" s="8">
        <v>7</v>
      </c>
      <c r="H145" s="8">
        <v>1</v>
      </c>
      <c r="I145" s="8">
        <v>12</v>
      </c>
      <c r="J145" s="10">
        <f t="shared" si="36"/>
        <v>1</v>
      </c>
      <c r="K145" s="11">
        <f t="shared" si="37"/>
        <v>2312888.13</v>
      </c>
      <c r="L145" s="11">
        <f t="shared" si="38"/>
        <v>166955.41</v>
      </c>
      <c r="M145" s="11">
        <f t="shared" si="39"/>
        <v>2479843.54</v>
      </c>
      <c r="N145" s="11">
        <f t="shared" si="40"/>
        <v>2479843.54</v>
      </c>
      <c r="O145" s="11">
        <f t="shared" si="41"/>
        <v>1952127.125</v>
      </c>
      <c r="P145" s="12">
        <f>IF(AND(C145="F",M145&lt;O145,SUMIFS(Категории!$Z$5:$Z$11,Категории!$A$5:$A$11,B145)=1),1,0)</f>
        <v>0</v>
      </c>
      <c r="Q145" s="11">
        <f t="shared" si="42"/>
        <v>0</v>
      </c>
      <c r="R145" s="10">
        <f>IF(AND(P145=1,SUMIFS(Категории!$AA$5:$AA$11,Категории!$A$5:$A$11,B145)&gt;0),Q145/SUMIFS(Категории!$AA$5:$AA$11,Категории!$A$5:$A$11,B145),0)</f>
        <v>0</v>
      </c>
      <c r="S145" s="11">
        <f>R145*SUMIFS(Категории!$AB$5:$AB$11,Категории!$A$5:$A$11,B145)</f>
        <v>0</v>
      </c>
      <c r="T145" s="11">
        <f t="shared" si="43"/>
        <v>0</v>
      </c>
      <c r="U145" s="11">
        <f t="shared" si="44"/>
        <v>0</v>
      </c>
      <c r="V145" s="11">
        <f t="shared" si="45"/>
        <v>0</v>
      </c>
      <c r="W145" s="12">
        <f>IF(AND(C145="F",M145&lt;O145,SUMIFS(Категории!$AH$5:$AH$11,Категории!$A$5:$A$11,B145)=1),1,0)</f>
        <v>0</v>
      </c>
      <c r="X145" s="11">
        <f t="shared" si="46"/>
        <v>0</v>
      </c>
      <c r="Y145" s="10">
        <f>IF(AND(W145=1,SUMIFS(Категории!$AI$5:$AI$11,Категории!$A$5:$A$11,B145)&gt;0),X145/SUMIFS(Категории!$AI$5:$AI$11,Категории!$A$5:$A$11,B145),0)</f>
        <v>0</v>
      </c>
      <c r="Z145" s="11">
        <f>Y145*SUMIFS(Категории!$AJ$5:$AJ$11,Категории!$A$5:$A$11,B145)</f>
        <v>0</v>
      </c>
      <c r="AA145" s="11">
        <f t="shared" si="47"/>
        <v>0</v>
      </c>
      <c r="AB145" s="11">
        <f t="shared" si="48"/>
        <v>0</v>
      </c>
      <c r="AC145" s="11">
        <f t="shared" si="49"/>
        <v>0</v>
      </c>
      <c r="AD145" s="12">
        <f t="shared" si="50"/>
        <v>35</v>
      </c>
      <c r="AE145" s="12">
        <f t="shared" si="51"/>
        <v>40</v>
      </c>
      <c r="AF145" s="12">
        <f t="shared" si="52"/>
        <v>17</v>
      </c>
      <c r="AG145" s="12">
        <f t="shared" si="53"/>
        <v>21</v>
      </c>
    </row>
    <row r="146" spans="1:33" x14ac:dyDescent="0.3">
      <c r="A146" s="8" t="s">
        <v>207</v>
      </c>
      <c r="B146" s="8" t="s">
        <v>182</v>
      </c>
      <c r="C146" s="8" t="s">
        <v>66</v>
      </c>
      <c r="D146" s="9">
        <v>1305192.26</v>
      </c>
      <c r="E146" s="9">
        <v>88225.58</v>
      </c>
      <c r="F146" s="8">
        <v>8.1</v>
      </c>
      <c r="G146" s="8">
        <v>4</v>
      </c>
      <c r="H146" s="8">
        <v>1</v>
      </c>
      <c r="I146" s="8">
        <v>12</v>
      </c>
      <c r="J146" s="10">
        <f t="shared" si="36"/>
        <v>1</v>
      </c>
      <c r="K146" s="11">
        <f t="shared" si="37"/>
        <v>1305192.26</v>
      </c>
      <c r="L146" s="11">
        <f t="shared" si="38"/>
        <v>88225.58</v>
      </c>
      <c r="M146" s="11">
        <f t="shared" si="39"/>
        <v>1393417.84</v>
      </c>
      <c r="N146" s="11">
        <f t="shared" si="40"/>
        <v>1393417.84</v>
      </c>
      <c r="O146" s="11">
        <f t="shared" si="41"/>
        <v>1952127.125</v>
      </c>
      <c r="P146" s="12">
        <f>IF(AND(C146="F",M146&lt;O146,SUMIFS(Категории!$Z$5:$Z$11,Категории!$A$5:$A$11,B146)=1),1,0)</f>
        <v>1</v>
      </c>
      <c r="Q146" s="11">
        <f t="shared" si="42"/>
        <v>558709.28499999992</v>
      </c>
      <c r="R146" s="10">
        <f>IF(AND(P146=1,SUMIFS(Категории!$AA$5:$AA$11,Категории!$A$5:$A$11,B146)&gt;0),Q146/SUMIFS(Категории!$AA$5:$AA$11,Категории!$A$5:$A$11,B146),0)</f>
        <v>0.1321554593650737</v>
      </c>
      <c r="S146" s="11">
        <f>R146*SUMIFS(Категории!$AB$5:$AB$11,Категории!$A$5:$A$11,B146)</f>
        <v>90482.160599396098</v>
      </c>
      <c r="T146" s="11">
        <f t="shared" si="43"/>
        <v>90482.160599396098</v>
      </c>
      <c r="U146" s="11">
        <f t="shared" si="44"/>
        <v>27144.648179818829</v>
      </c>
      <c r="V146" s="11">
        <f t="shared" si="45"/>
        <v>117626.80877921493</v>
      </c>
      <c r="W146" s="12">
        <f>IF(AND(C146="F",M146&lt;O146,SUMIFS(Категории!$AH$5:$AH$11,Категории!$A$5:$A$11,B146)=1),1,0)</f>
        <v>1</v>
      </c>
      <c r="X146" s="11">
        <f t="shared" si="46"/>
        <v>558709.28499999992</v>
      </c>
      <c r="Y146" s="10">
        <f>IF(AND(W146=1,SUMIFS(Категории!$AI$5:$AI$11,Категории!$A$5:$A$11,B146)&gt;0),X146/SUMIFS(Категории!$AI$5:$AI$11,Категории!$A$5:$A$11,B146),0)</f>
        <v>0.1321554593650737</v>
      </c>
      <c r="Z146" s="11">
        <f>Y146*SUMIFS(Категории!$AJ$5:$AJ$11,Категории!$A$5:$A$11,B146)</f>
        <v>363141.1159269769</v>
      </c>
      <c r="AA146" s="11">
        <f t="shared" si="47"/>
        <v>363141.1159269769</v>
      </c>
      <c r="AB146" s="11">
        <f t="shared" si="48"/>
        <v>108942.33477809306</v>
      </c>
      <c r="AC146" s="11">
        <f t="shared" si="49"/>
        <v>472083.45070506993</v>
      </c>
      <c r="AD146" s="12">
        <f t="shared" si="50"/>
        <v>1</v>
      </c>
      <c r="AE146" s="12">
        <f t="shared" si="51"/>
        <v>40</v>
      </c>
      <c r="AF146" s="12">
        <f t="shared" si="52"/>
        <v>1</v>
      </c>
      <c r="AG146" s="12">
        <f t="shared" si="53"/>
        <v>19</v>
      </c>
    </row>
    <row r="147" spans="1:33" x14ac:dyDescent="0.3">
      <c r="A147" s="8" t="s">
        <v>208</v>
      </c>
      <c r="B147" s="8" t="s">
        <v>182</v>
      </c>
      <c r="C147" s="8" t="s">
        <v>66</v>
      </c>
      <c r="D147" s="9">
        <v>2037947.24</v>
      </c>
      <c r="E147" s="9">
        <v>98006.2</v>
      </c>
      <c r="F147" s="8">
        <v>11.4</v>
      </c>
      <c r="G147" s="8">
        <v>7</v>
      </c>
      <c r="H147" s="8">
        <v>1</v>
      </c>
      <c r="I147" s="8">
        <v>12</v>
      </c>
      <c r="J147" s="10">
        <f t="shared" si="36"/>
        <v>1</v>
      </c>
      <c r="K147" s="11">
        <f t="shared" si="37"/>
        <v>2037947.24</v>
      </c>
      <c r="L147" s="11">
        <f t="shared" si="38"/>
        <v>98006.2</v>
      </c>
      <c r="M147" s="11">
        <f t="shared" si="39"/>
        <v>2135953.44</v>
      </c>
      <c r="N147" s="11">
        <f t="shared" si="40"/>
        <v>2135953.44</v>
      </c>
      <c r="O147" s="11">
        <f t="shared" si="41"/>
        <v>1952127.125</v>
      </c>
      <c r="P147" s="12">
        <f>IF(AND(C147="F",M147&lt;O147,SUMIFS(Категории!$Z$5:$Z$11,Категории!$A$5:$A$11,B147)=1),1,0)</f>
        <v>0</v>
      </c>
      <c r="Q147" s="11">
        <f t="shared" si="42"/>
        <v>0</v>
      </c>
      <c r="R147" s="10">
        <f>IF(AND(P147=1,SUMIFS(Категории!$AA$5:$AA$11,Категории!$A$5:$A$11,B147)&gt;0),Q147/SUMIFS(Категории!$AA$5:$AA$11,Категории!$A$5:$A$11,B147),0)</f>
        <v>0</v>
      </c>
      <c r="S147" s="11">
        <f>R147*SUMIFS(Категории!$AB$5:$AB$11,Категории!$A$5:$A$11,B147)</f>
        <v>0</v>
      </c>
      <c r="T147" s="11">
        <f t="shared" si="43"/>
        <v>0</v>
      </c>
      <c r="U147" s="11">
        <f t="shared" si="44"/>
        <v>0</v>
      </c>
      <c r="V147" s="11">
        <f t="shared" si="45"/>
        <v>0</v>
      </c>
      <c r="W147" s="12">
        <f>IF(AND(C147="F",M147&lt;O147,SUMIFS(Категории!$AH$5:$AH$11,Категории!$A$5:$A$11,B147)=1),1,0)</f>
        <v>0</v>
      </c>
      <c r="X147" s="11">
        <f t="shared" si="46"/>
        <v>0</v>
      </c>
      <c r="Y147" s="10">
        <f>IF(AND(W147=1,SUMIFS(Категории!$AI$5:$AI$11,Категории!$A$5:$A$11,B147)&gt;0),X147/SUMIFS(Категории!$AI$5:$AI$11,Категории!$A$5:$A$11,B147),0)</f>
        <v>0</v>
      </c>
      <c r="Z147" s="11">
        <f>Y147*SUMIFS(Категории!$AJ$5:$AJ$11,Категории!$A$5:$A$11,B147)</f>
        <v>0</v>
      </c>
      <c r="AA147" s="11">
        <f t="shared" si="47"/>
        <v>0</v>
      </c>
      <c r="AB147" s="11">
        <f t="shared" si="48"/>
        <v>0</v>
      </c>
      <c r="AC147" s="11">
        <f t="shared" si="49"/>
        <v>0</v>
      </c>
      <c r="AD147" s="12">
        <f t="shared" si="50"/>
        <v>25</v>
      </c>
      <c r="AE147" s="12">
        <f t="shared" si="51"/>
        <v>40</v>
      </c>
      <c r="AF147" s="12">
        <f t="shared" si="52"/>
        <v>15</v>
      </c>
      <c r="AG147" s="12">
        <f t="shared" si="53"/>
        <v>19</v>
      </c>
    </row>
    <row r="148" spans="1:33" x14ac:dyDescent="0.3">
      <c r="A148" s="8" t="s">
        <v>209</v>
      </c>
      <c r="B148" s="8" t="s">
        <v>182</v>
      </c>
      <c r="C148" s="8" t="s">
        <v>66</v>
      </c>
      <c r="D148" s="9">
        <v>1630708.73</v>
      </c>
      <c r="E148" s="9">
        <v>121047.29</v>
      </c>
      <c r="F148" s="8">
        <v>11.5</v>
      </c>
      <c r="G148" s="8">
        <v>5</v>
      </c>
      <c r="H148" s="8">
        <v>1</v>
      </c>
      <c r="I148" s="8">
        <v>12</v>
      </c>
      <c r="J148" s="10">
        <f t="shared" si="36"/>
        <v>1</v>
      </c>
      <c r="K148" s="11">
        <f t="shared" si="37"/>
        <v>1630708.73</v>
      </c>
      <c r="L148" s="11">
        <f t="shared" si="38"/>
        <v>121047.29</v>
      </c>
      <c r="M148" s="11">
        <f t="shared" si="39"/>
        <v>1751756.02</v>
      </c>
      <c r="N148" s="11">
        <f t="shared" si="40"/>
        <v>1751756.02</v>
      </c>
      <c r="O148" s="11">
        <f t="shared" si="41"/>
        <v>1952127.125</v>
      </c>
      <c r="P148" s="12">
        <f>IF(AND(C148="F",M148&lt;O148,SUMIFS(Категории!$Z$5:$Z$11,Категории!$A$5:$A$11,B148)=1),1,0)</f>
        <v>1</v>
      </c>
      <c r="Q148" s="11">
        <f t="shared" si="42"/>
        <v>200371.10499999998</v>
      </c>
      <c r="R148" s="10">
        <f>IF(AND(P148=1,SUMIFS(Категории!$AA$5:$AA$11,Категории!$A$5:$A$11,B148)&gt;0),Q148/SUMIFS(Категории!$AA$5:$AA$11,Категории!$A$5:$A$11,B148),0)</f>
        <v>4.7395194845853361E-2</v>
      </c>
      <c r="S148" s="11">
        <f>R148*SUMIFS(Категории!$AB$5:$AB$11,Категории!$A$5:$A$11,B148)</f>
        <v>32449.810641841148</v>
      </c>
      <c r="T148" s="11">
        <f t="shared" si="43"/>
        <v>32449.810641841148</v>
      </c>
      <c r="U148" s="11">
        <f t="shared" si="44"/>
        <v>9734.943192552344</v>
      </c>
      <c r="V148" s="11">
        <f t="shared" si="45"/>
        <v>42184.753834393494</v>
      </c>
      <c r="W148" s="12">
        <f>IF(AND(C148="F",M148&lt;O148,SUMIFS(Категории!$AH$5:$AH$11,Категории!$A$5:$A$11,B148)=1),1,0)</f>
        <v>1</v>
      </c>
      <c r="X148" s="11">
        <f t="shared" si="46"/>
        <v>200371.10499999998</v>
      </c>
      <c r="Y148" s="10">
        <f>IF(AND(W148=1,SUMIFS(Категории!$AI$5:$AI$11,Категории!$A$5:$A$11,B148)&gt;0),X148/SUMIFS(Категории!$AI$5:$AI$11,Категории!$A$5:$A$11,B148),0)</f>
        <v>4.7395194845853361E-2</v>
      </c>
      <c r="Z148" s="11">
        <f>Y148*SUMIFS(Категории!$AJ$5:$AJ$11,Категории!$A$5:$A$11,B148)</f>
        <v>130234.07454061098</v>
      </c>
      <c r="AA148" s="11">
        <f t="shared" si="47"/>
        <v>130234.07454061098</v>
      </c>
      <c r="AB148" s="11">
        <f t="shared" si="48"/>
        <v>39070.222362183289</v>
      </c>
      <c r="AC148" s="11">
        <f t="shared" si="49"/>
        <v>169304.29690279427</v>
      </c>
      <c r="AD148" s="12">
        <f t="shared" si="50"/>
        <v>14</v>
      </c>
      <c r="AE148" s="12">
        <f t="shared" si="51"/>
        <v>40</v>
      </c>
      <c r="AF148" s="12">
        <f t="shared" si="52"/>
        <v>11</v>
      </c>
      <c r="AG148" s="12">
        <f t="shared" si="53"/>
        <v>19</v>
      </c>
    </row>
    <row r="149" spans="1:33" x14ac:dyDescent="0.3">
      <c r="A149" s="8" t="s">
        <v>210</v>
      </c>
      <c r="B149" s="8" t="s">
        <v>182</v>
      </c>
      <c r="C149" s="8" t="s">
        <v>61</v>
      </c>
      <c r="D149" s="9">
        <v>2733446.18</v>
      </c>
      <c r="E149" s="9">
        <v>196265.13</v>
      </c>
      <c r="F149" s="8">
        <v>18.399999999999999</v>
      </c>
      <c r="G149" s="8">
        <v>8</v>
      </c>
      <c r="H149" s="8">
        <v>1</v>
      </c>
      <c r="I149" s="8">
        <v>12</v>
      </c>
      <c r="J149" s="10">
        <f t="shared" si="36"/>
        <v>1</v>
      </c>
      <c r="K149" s="11">
        <f t="shared" si="37"/>
        <v>2733446.18</v>
      </c>
      <c r="L149" s="11">
        <f t="shared" si="38"/>
        <v>196265.13</v>
      </c>
      <c r="M149" s="11">
        <f t="shared" si="39"/>
        <v>2929711.31</v>
      </c>
      <c r="N149" s="11">
        <f t="shared" si="40"/>
        <v>2929711.31</v>
      </c>
      <c r="O149" s="11">
        <f t="shared" si="41"/>
        <v>1952127.125</v>
      </c>
      <c r="P149" s="12">
        <f>IF(AND(C149="F",M149&lt;O149,SUMIFS(Категории!$Z$5:$Z$11,Категории!$A$5:$A$11,B149)=1),1,0)</f>
        <v>0</v>
      </c>
      <c r="Q149" s="11">
        <f t="shared" si="42"/>
        <v>0</v>
      </c>
      <c r="R149" s="10">
        <f>IF(AND(P149=1,SUMIFS(Категории!$AA$5:$AA$11,Категории!$A$5:$A$11,B149)&gt;0),Q149/SUMIFS(Категории!$AA$5:$AA$11,Категории!$A$5:$A$11,B149),0)</f>
        <v>0</v>
      </c>
      <c r="S149" s="11">
        <f>R149*SUMIFS(Категории!$AB$5:$AB$11,Категории!$A$5:$A$11,B149)</f>
        <v>0</v>
      </c>
      <c r="T149" s="11">
        <f t="shared" si="43"/>
        <v>0</v>
      </c>
      <c r="U149" s="11">
        <f t="shared" si="44"/>
        <v>0</v>
      </c>
      <c r="V149" s="11">
        <f t="shared" si="45"/>
        <v>0</v>
      </c>
      <c r="W149" s="12">
        <f>IF(AND(C149="F",M149&lt;O149,SUMIFS(Категории!$AH$5:$AH$11,Категории!$A$5:$A$11,B149)=1),1,0)</f>
        <v>0</v>
      </c>
      <c r="X149" s="11">
        <f t="shared" si="46"/>
        <v>0</v>
      </c>
      <c r="Y149" s="10">
        <f>IF(AND(W149=1,SUMIFS(Категории!$AI$5:$AI$11,Категории!$A$5:$A$11,B149)&gt;0),X149/SUMIFS(Категории!$AI$5:$AI$11,Категории!$A$5:$A$11,B149),0)</f>
        <v>0</v>
      </c>
      <c r="Z149" s="11">
        <f>Y149*SUMIFS(Категории!$AJ$5:$AJ$11,Категории!$A$5:$A$11,B149)</f>
        <v>0</v>
      </c>
      <c r="AA149" s="11">
        <f t="shared" si="47"/>
        <v>0</v>
      </c>
      <c r="AB149" s="11">
        <f t="shared" si="48"/>
        <v>0</v>
      </c>
      <c r="AC149" s="11">
        <f t="shared" si="49"/>
        <v>0</v>
      </c>
      <c r="AD149" s="12">
        <f t="shared" si="50"/>
        <v>39</v>
      </c>
      <c r="AE149" s="12">
        <f t="shared" si="51"/>
        <v>40</v>
      </c>
      <c r="AF149" s="12">
        <f t="shared" si="52"/>
        <v>20</v>
      </c>
      <c r="AG149" s="12">
        <f t="shared" si="53"/>
        <v>21</v>
      </c>
    </row>
    <row r="150" spans="1:33" x14ac:dyDescent="0.3">
      <c r="A150" s="8" t="s">
        <v>211</v>
      </c>
      <c r="B150" s="8" t="s">
        <v>182</v>
      </c>
      <c r="C150" s="8" t="s">
        <v>66</v>
      </c>
      <c r="D150" s="9">
        <v>1669848.43</v>
      </c>
      <c r="E150" s="9">
        <v>102769.33</v>
      </c>
      <c r="F150" s="8">
        <v>15.6</v>
      </c>
      <c r="G150" s="8">
        <v>7</v>
      </c>
      <c r="H150" s="8">
        <v>0.8</v>
      </c>
      <c r="I150" s="8">
        <v>12</v>
      </c>
      <c r="J150" s="10">
        <f t="shared" si="36"/>
        <v>0.8</v>
      </c>
      <c r="K150" s="11">
        <f t="shared" si="37"/>
        <v>2087310.5374999999</v>
      </c>
      <c r="L150" s="11">
        <f t="shared" si="38"/>
        <v>128461.66249999999</v>
      </c>
      <c r="M150" s="11">
        <f t="shared" si="39"/>
        <v>2215772.1999999997</v>
      </c>
      <c r="N150" s="11">
        <f t="shared" si="40"/>
        <v>1772617.76</v>
      </c>
      <c r="O150" s="11">
        <f t="shared" si="41"/>
        <v>1952127.125</v>
      </c>
      <c r="P150" s="12">
        <f>IF(AND(C150="F",M150&lt;O150,SUMIFS(Категории!$Z$5:$Z$11,Категории!$A$5:$A$11,B150)=1),1,0)</f>
        <v>0</v>
      </c>
      <c r="Q150" s="11">
        <f t="shared" si="42"/>
        <v>0</v>
      </c>
      <c r="R150" s="10">
        <f>IF(AND(P150=1,SUMIFS(Категории!$AA$5:$AA$11,Категории!$A$5:$A$11,B150)&gt;0),Q150/SUMIFS(Категории!$AA$5:$AA$11,Категории!$A$5:$A$11,B150),0)</f>
        <v>0</v>
      </c>
      <c r="S150" s="11">
        <f>R150*SUMIFS(Категории!$AB$5:$AB$11,Категории!$A$5:$A$11,B150)</f>
        <v>0</v>
      </c>
      <c r="T150" s="11">
        <f t="shared" si="43"/>
        <v>0</v>
      </c>
      <c r="U150" s="11">
        <f t="shared" si="44"/>
        <v>0</v>
      </c>
      <c r="V150" s="11">
        <f t="shared" si="45"/>
        <v>0</v>
      </c>
      <c r="W150" s="12">
        <f>IF(AND(C150="F",M150&lt;O150,SUMIFS(Категории!$AH$5:$AH$11,Категории!$A$5:$A$11,B150)=1),1,0)</f>
        <v>0</v>
      </c>
      <c r="X150" s="11">
        <f t="shared" si="46"/>
        <v>0</v>
      </c>
      <c r="Y150" s="10">
        <f>IF(AND(W150=1,SUMIFS(Категории!$AI$5:$AI$11,Категории!$A$5:$A$11,B150)&gt;0),X150/SUMIFS(Категории!$AI$5:$AI$11,Категории!$A$5:$A$11,B150),0)</f>
        <v>0</v>
      </c>
      <c r="Z150" s="11">
        <f>Y150*SUMIFS(Категории!$AJ$5:$AJ$11,Категории!$A$5:$A$11,B150)</f>
        <v>0</v>
      </c>
      <c r="AA150" s="11">
        <f t="shared" si="47"/>
        <v>0</v>
      </c>
      <c r="AB150" s="11">
        <f t="shared" si="48"/>
        <v>0</v>
      </c>
      <c r="AC150" s="11">
        <f t="shared" si="49"/>
        <v>0</v>
      </c>
      <c r="AD150" s="12">
        <f t="shared" si="50"/>
        <v>27</v>
      </c>
      <c r="AE150" s="12">
        <f t="shared" si="51"/>
        <v>40</v>
      </c>
      <c r="AF150" s="12">
        <f t="shared" si="52"/>
        <v>16</v>
      </c>
      <c r="AG150" s="12">
        <f t="shared" si="53"/>
        <v>19</v>
      </c>
    </row>
    <row r="151" spans="1:33" x14ac:dyDescent="0.3">
      <c r="A151" s="8" t="s">
        <v>212</v>
      </c>
      <c r="B151" s="8" t="s">
        <v>182</v>
      </c>
      <c r="C151" s="8" t="s">
        <v>61</v>
      </c>
      <c r="D151" s="9">
        <v>1740655.61</v>
      </c>
      <c r="E151" s="9">
        <v>97951.23</v>
      </c>
      <c r="F151" s="8">
        <v>5.5</v>
      </c>
      <c r="G151" s="8">
        <v>5</v>
      </c>
      <c r="H151" s="8">
        <v>1</v>
      </c>
      <c r="I151" s="8">
        <v>12</v>
      </c>
      <c r="J151" s="10">
        <f t="shared" si="36"/>
        <v>1</v>
      </c>
      <c r="K151" s="11">
        <f t="shared" si="37"/>
        <v>1740655.61</v>
      </c>
      <c r="L151" s="11">
        <f t="shared" si="38"/>
        <v>97951.23</v>
      </c>
      <c r="M151" s="11">
        <f t="shared" si="39"/>
        <v>1838606.84</v>
      </c>
      <c r="N151" s="11">
        <f t="shared" si="40"/>
        <v>1838606.84</v>
      </c>
      <c r="O151" s="11">
        <f t="shared" si="41"/>
        <v>1952127.125</v>
      </c>
      <c r="P151" s="12">
        <f>IF(AND(C151="F",M151&lt;O151,SUMIFS(Категории!$Z$5:$Z$11,Категории!$A$5:$A$11,B151)=1),1,0)</f>
        <v>0</v>
      </c>
      <c r="Q151" s="11">
        <f t="shared" si="42"/>
        <v>0</v>
      </c>
      <c r="R151" s="10">
        <f>IF(AND(P151=1,SUMIFS(Категории!$AA$5:$AA$11,Категории!$A$5:$A$11,B151)&gt;0),Q151/SUMIFS(Категории!$AA$5:$AA$11,Категории!$A$5:$A$11,B151),0)</f>
        <v>0</v>
      </c>
      <c r="S151" s="11">
        <f>R151*SUMIFS(Категории!$AB$5:$AB$11,Категории!$A$5:$A$11,B151)</f>
        <v>0</v>
      </c>
      <c r="T151" s="11">
        <f t="shared" si="43"/>
        <v>0</v>
      </c>
      <c r="U151" s="11">
        <f t="shared" si="44"/>
        <v>0</v>
      </c>
      <c r="V151" s="11">
        <f t="shared" si="45"/>
        <v>0</v>
      </c>
      <c r="W151" s="12">
        <f>IF(AND(C151="F",M151&lt;O151,SUMIFS(Категории!$AH$5:$AH$11,Категории!$A$5:$A$11,B151)=1),1,0)</f>
        <v>0</v>
      </c>
      <c r="X151" s="11">
        <f t="shared" si="46"/>
        <v>0</v>
      </c>
      <c r="Y151" s="10">
        <f>IF(AND(W151=1,SUMIFS(Категории!$AI$5:$AI$11,Категории!$A$5:$A$11,B151)&gt;0),X151/SUMIFS(Категории!$AI$5:$AI$11,Категории!$A$5:$A$11,B151),0)</f>
        <v>0</v>
      </c>
      <c r="Z151" s="11">
        <f>Y151*SUMIFS(Категории!$AJ$5:$AJ$11,Категории!$A$5:$A$11,B151)</f>
        <v>0</v>
      </c>
      <c r="AA151" s="11">
        <f t="shared" si="47"/>
        <v>0</v>
      </c>
      <c r="AB151" s="11">
        <f t="shared" si="48"/>
        <v>0</v>
      </c>
      <c r="AC151" s="11">
        <f t="shared" si="49"/>
        <v>0</v>
      </c>
      <c r="AD151" s="12">
        <f t="shared" si="50"/>
        <v>18</v>
      </c>
      <c r="AE151" s="12">
        <f t="shared" si="51"/>
        <v>40</v>
      </c>
      <c r="AF151" s="12">
        <f t="shared" si="52"/>
        <v>6</v>
      </c>
      <c r="AG151" s="12">
        <f t="shared" si="53"/>
        <v>21</v>
      </c>
    </row>
    <row r="152" spans="1:33" x14ac:dyDescent="0.3">
      <c r="A152" s="8" t="s">
        <v>213</v>
      </c>
      <c r="B152" s="8" t="s">
        <v>182</v>
      </c>
      <c r="C152" s="8" t="s">
        <v>61</v>
      </c>
      <c r="D152" s="9">
        <v>2253260.09</v>
      </c>
      <c r="E152" s="9">
        <v>103810.21</v>
      </c>
      <c r="F152" s="8">
        <v>18.600000000000001</v>
      </c>
      <c r="G152" s="8">
        <v>7</v>
      </c>
      <c r="H152" s="8">
        <v>1</v>
      </c>
      <c r="I152" s="8">
        <v>12</v>
      </c>
      <c r="J152" s="10">
        <f t="shared" si="36"/>
        <v>1</v>
      </c>
      <c r="K152" s="11">
        <f t="shared" si="37"/>
        <v>2253260.09</v>
      </c>
      <c r="L152" s="11">
        <f t="shared" si="38"/>
        <v>103810.21</v>
      </c>
      <c r="M152" s="11">
        <f t="shared" si="39"/>
        <v>2357070.2999999998</v>
      </c>
      <c r="N152" s="11">
        <f t="shared" si="40"/>
        <v>2357070.2999999998</v>
      </c>
      <c r="O152" s="11">
        <f t="shared" si="41"/>
        <v>1952127.125</v>
      </c>
      <c r="P152" s="12">
        <f>IF(AND(C152="F",M152&lt;O152,SUMIFS(Категории!$Z$5:$Z$11,Категории!$A$5:$A$11,B152)=1),1,0)</f>
        <v>0</v>
      </c>
      <c r="Q152" s="11">
        <f t="shared" si="42"/>
        <v>0</v>
      </c>
      <c r="R152" s="10">
        <f>IF(AND(P152=1,SUMIFS(Категории!$AA$5:$AA$11,Категории!$A$5:$A$11,B152)&gt;0),Q152/SUMIFS(Категории!$AA$5:$AA$11,Категории!$A$5:$A$11,B152),0)</f>
        <v>0</v>
      </c>
      <c r="S152" s="11">
        <f>R152*SUMIFS(Категории!$AB$5:$AB$11,Категории!$A$5:$A$11,B152)</f>
        <v>0</v>
      </c>
      <c r="T152" s="11">
        <f t="shared" si="43"/>
        <v>0</v>
      </c>
      <c r="U152" s="11">
        <f t="shared" si="44"/>
        <v>0</v>
      </c>
      <c r="V152" s="11">
        <f t="shared" si="45"/>
        <v>0</v>
      </c>
      <c r="W152" s="12">
        <f>IF(AND(C152="F",M152&lt;O152,SUMIFS(Категории!$AH$5:$AH$11,Категории!$A$5:$A$11,B152)=1),1,0)</f>
        <v>0</v>
      </c>
      <c r="X152" s="11">
        <f t="shared" si="46"/>
        <v>0</v>
      </c>
      <c r="Y152" s="10">
        <f>IF(AND(W152=1,SUMIFS(Категории!$AI$5:$AI$11,Категории!$A$5:$A$11,B152)&gt;0),X152/SUMIFS(Категории!$AI$5:$AI$11,Категории!$A$5:$A$11,B152),0)</f>
        <v>0</v>
      </c>
      <c r="Z152" s="11">
        <f>Y152*SUMIFS(Категории!$AJ$5:$AJ$11,Категории!$A$5:$A$11,B152)</f>
        <v>0</v>
      </c>
      <c r="AA152" s="11">
        <f t="shared" si="47"/>
        <v>0</v>
      </c>
      <c r="AB152" s="11">
        <f t="shared" si="48"/>
        <v>0</v>
      </c>
      <c r="AC152" s="11">
        <f t="shared" si="49"/>
        <v>0</v>
      </c>
      <c r="AD152" s="12">
        <f t="shared" si="50"/>
        <v>31</v>
      </c>
      <c r="AE152" s="12">
        <f t="shared" si="51"/>
        <v>40</v>
      </c>
      <c r="AF152" s="12">
        <f t="shared" si="52"/>
        <v>13</v>
      </c>
      <c r="AG152" s="12">
        <f t="shared" si="53"/>
        <v>21</v>
      </c>
    </row>
    <row r="153" spans="1:33" x14ac:dyDescent="0.3">
      <c r="A153" s="8" t="s">
        <v>214</v>
      </c>
      <c r="B153" s="8" t="s">
        <v>182</v>
      </c>
      <c r="C153" s="8" t="s">
        <v>61</v>
      </c>
      <c r="D153" s="9">
        <v>1869093.7</v>
      </c>
      <c r="E153" s="9">
        <v>100761.72</v>
      </c>
      <c r="F153" s="8">
        <v>12.8</v>
      </c>
      <c r="G153" s="8">
        <v>5</v>
      </c>
      <c r="H153" s="8">
        <v>1</v>
      </c>
      <c r="I153" s="8">
        <v>12</v>
      </c>
      <c r="J153" s="10">
        <f t="shared" si="36"/>
        <v>1</v>
      </c>
      <c r="K153" s="11">
        <f t="shared" si="37"/>
        <v>1869093.7</v>
      </c>
      <c r="L153" s="11">
        <f t="shared" si="38"/>
        <v>100761.72</v>
      </c>
      <c r="M153" s="11">
        <f t="shared" si="39"/>
        <v>1969855.42</v>
      </c>
      <c r="N153" s="11">
        <f t="shared" si="40"/>
        <v>1969855.42</v>
      </c>
      <c r="O153" s="11">
        <f t="shared" si="41"/>
        <v>1952127.125</v>
      </c>
      <c r="P153" s="12">
        <f>IF(AND(C153="F",M153&lt;O153,SUMIFS(Категории!$Z$5:$Z$11,Категории!$A$5:$A$11,B153)=1),1,0)</f>
        <v>0</v>
      </c>
      <c r="Q153" s="11">
        <f t="shared" si="42"/>
        <v>0</v>
      </c>
      <c r="R153" s="10">
        <f>IF(AND(P153=1,SUMIFS(Категории!$AA$5:$AA$11,Категории!$A$5:$A$11,B153)&gt;0),Q153/SUMIFS(Категории!$AA$5:$AA$11,Категории!$A$5:$A$11,B153),0)</f>
        <v>0</v>
      </c>
      <c r="S153" s="11">
        <f>R153*SUMIFS(Категории!$AB$5:$AB$11,Категории!$A$5:$A$11,B153)</f>
        <v>0</v>
      </c>
      <c r="T153" s="11">
        <f t="shared" si="43"/>
        <v>0</v>
      </c>
      <c r="U153" s="11">
        <f t="shared" si="44"/>
        <v>0</v>
      </c>
      <c r="V153" s="11">
        <f t="shared" si="45"/>
        <v>0</v>
      </c>
      <c r="W153" s="12">
        <f>IF(AND(C153="F",M153&lt;O153,SUMIFS(Категории!$AH$5:$AH$11,Категории!$A$5:$A$11,B153)=1),1,0)</f>
        <v>0</v>
      </c>
      <c r="X153" s="11">
        <f t="shared" si="46"/>
        <v>0</v>
      </c>
      <c r="Y153" s="10">
        <f>IF(AND(W153=1,SUMIFS(Категории!$AI$5:$AI$11,Категории!$A$5:$A$11,B153)&gt;0),X153/SUMIFS(Категории!$AI$5:$AI$11,Категории!$A$5:$A$11,B153),0)</f>
        <v>0</v>
      </c>
      <c r="Z153" s="11">
        <f>Y153*SUMIFS(Категории!$AJ$5:$AJ$11,Категории!$A$5:$A$11,B153)</f>
        <v>0</v>
      </c>
      <c r="AA153" s="11">
        <f t="shared" si="47"/>
        <v>0</v>
      </c>
      <c r="AB153" s="11">
        <f t="shared" si="48"/>
        <v>0</v>
      </c>
      <c r="AC153" s="11">
        <f t="shared" si="49"/>
        <v>0</v>
      </c>
      <c r="AD153" s="12">
        <f t="shared" si="50"/>
        <v>21</v>
      </c>
      <c r="AE153" s="12">
        <f t="shared" si="51"/>
        <v>40</v>
      </c>
      <c r="AF153" s="12">
        <f t="shared" si="52"/>
        <v>9</v>
      </c>
      <c r="AG153" s="12">
        <f t="shared" si="53"/>
        <v>21</v>
      </c>
    </row>
    <row r="154" spans="1:33" x14ac:dyDescent="0.3">
      <c r="A154" s="8" t="s">
        <v>215</v>
      </c>
      <c r="B154" s="8" t="s">
        <v>182</v>
      </c>
      <c r="C154" s="8" t="s">
        <v>66</v>
      </c>
      <c r="D154" s="9">
        <v>1416026.76</v>
      </c>
      <c r="E154" s="9">
        <v>88076.51</v>
      </c>
      <c r="F154" s="8">
        <v>7.8</v>
      </c>
      <c r="G154" s="8">
        <v>4</v>
      </c>
      <c r="H154" s="8">
        <v>1</v>
      </c>
      <c r="I154" s="8">
        <v>12</v>
      </c>
      <c r="J154" s="10">
        <f t="shared" si="36"/>
        <v>1</v>
      </c>
      <c r="K154" s="11">
        <f t="shared" si="37"/>
        <v>1416026.76</v>
      </c>
      <c r="L154" s="11">
        <f t="shared" si="38"/>
        <v>88076.51</v>
      </c>
      <c r="M154" s="11">
        <f t="shared" si="39"/>
        <v>1504103.27</v>
      </c>
      <c r="N154" s="11">
        <f t="shared" si="40"/>
        <v>1504103.27</v>
      </c>
      <c r="O154" s="11">
        <f t="shared" si="41"/>
        <v>1952127.125</v>
      </c>
      <c r="P154" s="12">
        <f>IF(AND(C154="F",M154&lt;O154,SUMIFS(Категории!$Z$5:$Z$11,Категории!$A$5:$A$11,B154)=1),1,0)</f>
        <v>1</v>
      </c>
      <c r="Q154" s="11">
        <f t="shared" si="42"/>
        <v>448023.85499999998</v>
      </c>
      <c r="R154" s="10">
        <f>IF(AND(P154=1,SUMIFS(Категории!$AA$5:$AA$11,Категории!$A$5:$A$11,B154)&gt;0),Q154/SUMIFS(Категории!$AA$5:$AA$11,Категории!$A$5:$A$11,B154),0)</f>
        <v>0.10597425164329635</v>
      </c>
      <c r="S154" s="11">
        <f>R154*SUMIFS(Категории!$AB$5:$AB$11,Категории!$A$5:$A$11,B154)</f>
        <v>72556.815304171207</v>
      </c>
      <c r="T154" s="11">
        <f t="shared" si="43"/>
        <v>72556.815304171207</v>
      </c>
      <c r="U154" s="11">
        <f t="shared" si="44"/>
        <v>21767.044591251361</v>
      </c>
      <c r="V154" s="11">
        <f t="shared" si="45"/>
        <v>94323.85989542256</v>
      </c>
      <c r="W154" s="12">
        <f>IF(AND(C154="F",M154&lt;O154,SUMIFS(Категории!$AH$5:$AH$11,Категории!$A$5:$A$11,B154)=1),1,0)</f>
        <v>1</v>
      </c>
      <c r="X154" s="11">
        <f t="shared" si="46"/>
        <v>448023.85499999998</v>
      </c>
      <c r="Y154" s="10">
        <f>IF(AND(W154=1,SUMIFS(Категории!$AI$5:$AI$11,Категории!$A$5:$A$11,B154)&gt;0),X154/SUMIFS(Категории!$AI$5:$AI$11,Категории!$A$5:$A$11,B154),0)</f>
        <v>0.10597425164329635</v>
      </c>
      <c r="Z154" s="11">
        <f>Y154*SUMIFS(Категории!$AJ$5:$AJ$11,Категории!$A$5:$A$11,B154)</f>
        <v>291199.53262743092</v>
      </c>
      <c r="AA154" s="11">
        <f t="shared" si="47"/>
        <v>291199.53262743092</v>
      </c>
      <c r="AB154" s="11">
        <f t="shared" si="48"/>
        <v>87359.859788229267</v>
      </c>
      <c r="AC154" s="11">
        <f t="shared" si="49"/>
        <v>378559.3924156602</v>
      </c>
      <c r="AD154" s="12">
        <f t="shared" si="50"/>
        <v>4</v>
      </c>
      <c r="AE154" s="12">
        <f t="shared" si="51"/>
        <v>40</v>
      </c>
      <c r="AF154" s="12">
        <f t="shared" si="52"/>
        <v>4</v>
      </c>
      <c r="AG154" s="12">
        <f t="shared" si="53"/>
        <v>19</v>
      </c>
    </row>
    <row r="155" spans="1:33" x14ac:dyDescent="0.3">
      <c r="A155" s="8" t="s">
        <v>216</v>
      </c>
      <c r="B155" s="8" t="s">
        <v>182</v>
      </c>
      <c r="C155" s="8" t="s">
        <v>61</v>
      </c>
      <c r="D155" s="9">
        <v>1700186.31</v>
      </c>
      <c r="E155" s="9">
        <v>115814.11</v>
      </c>
      <c r="F155" s="8">
        <v>4.2</v>
      </c>
      <c r="G155" s="8">
        <v>5</v>
      </c>
      <c r="H155" s="8">
        <v>1</v>
      </c>
      <c r="I155" s="8">
        <v>12</v>
      </c>
      <c r="J155" s="10">
        <f t="shared" si="36"/>
        <v>1</v>
      </c>
      <c r="K155" s="11">
        <f t="shared" si="37"/>
        <v>1700186.31</v>
      </c>
      <c r="L155" s="11">
        <f t="shared" si="38"/>
        <v>115814.11</v>
      </c>
      <c r="M155" s="11">
        <f t="shared" si="39"/>
        <v>1816000.4200000002</v>
      </c>
      <c r="N155" s="11">
        <f t="shared" si="40"/>
        <v>1816000.4200000002</v>
      </c>
      <c r="O155" s="11">
        <f t="shared" si="41"/>
        <v>1952127.125</v>
      </c>
      <c r="P155" s="12">
        <f>IF(AND(C155="F",M155&lt;O155,SUMIFS(Категории!$Z$5:$Z$11,Категории!$A$5:$A$11,B155)=1),1,0)</f>
        <v>0</v>
      </c>
      <c r="Q155" s="11">
        <f t="shared" si="42"/>
        <v>0</v>
      </c>
      <c r="R155" s="10">
        <f>IF(AND(P155=1,SUMIFS(Категории!$AA$5:$AA$11,Категории!$A$5:$A$11,B155)&gt;0),Q155/SUMIFS(Категории!$AA$5:$AA$11,Категории!$A$5:$A$11,B155),0)</f>
        <v>0</v>
      </c>
      <c r="S155" s="11">
        <f>R155*SUMIFS(Категории!$AB$5:$AB$11,Категории!$A$5:$A$11,B155)</f>
        <v>0</v>
      </c>
      <c r="T155" s="11">
        <f t="shared" si="43"/>
        <v>0</v>
      </c>
      <c r="U155" s="11">
        <f t="shared" si="44"/>
        <v>0</v>
      </c>
      <c r="V155" s="11">
        <f t="shared" si="45"/>
        <v>0</v>
      </c>
      <c r="W155" s="12">
        <f>IF(AND(C155="F",M155&lt;O155,SUMIFS(Категории!$AH$5:$AH$11,Категории!$A$5:$A$11,B155)=1),1,0)</f>
        <v>0</v>
      </c>
      <c r="X155" s="11">
        <f t="shared" si="46"/>
        <v>0</v>
      </c>
      <c r="Y155" s="10">
        <f>IF(AND(W155=1,SUMIFS(Категории!$AI$5:$AI$11,Категории!$A$5:$A$11,B155)&gt;0),X155/SUMIFS(Категории!$AI$5:$AI$11,Категории!$A$5:$A$11,B155),0)</f>
        <v>0</v>
      </c>
      <c r="Z155" s="11">
        <f>Y155*SUMIFS(Категории!$AJ$5:$AJ$11,Категории!$A$5:$A$11,B155)</f>
        <v>0</v>
      </c>
      <c r="AA155" s="11">
        <f t="shared" si="47"/>
        <v>0</v>
      </c>
      <c r="AB155" s="11">
        <f t="shared" si="48"/>
        <v>0</v>
      </c>
      <c r="AC155" s="11">
        <f t="shared" si="49"/>
        <v>0</v>
      </c>
      <c r="AD155" s="12">
        <f t="shared" si="50"/>
        <v>17</v>
      </c>
      <c r="AE155" s="12">
        <f t="shared" si="51"/>
        <v>40</v>
      </c>
      <c r="AF155" s="12">
        <f t="shared" si="52"/>
        <v>5</v>
      </c>
      <c r="AG155" s="12">
        <f t="shared" si="53"/>
        <v>21</v>
      </c>
    </row>
    <row r="156" spans="1:33" x14ac:dyDescent="0.3">
      <c r="A156" s="8" t="s">
        <v>217</v>
      </c>
      <c r="B156" s="8" t="s">
        <v>182</v>
      </c>
      <c r="C156" s="8" t="s">
        <v>61</v>
      </c>
      <c r="D156" s="9">
        <v>1571174.03</v>
      </c>
      <c r="E156" s="9">
        <v>81293.8</v>
      </c>
      <c r="F156" s="8">
        <v>8.6999999999999993</v>
      </c>
      <c r="G156" s="8">
        <v>4</v>
      </c>
      <c r="H156" s="8">
        <v>1</v>
      </c>
      <c r="I156" s="8">
        <v>12</v>
      </c>
      <c r="J156" s="10">
        <f t="shared" si="36"/>
        <v>1</v>
      </c>
      <c r="K156" s="11">
        <f t="shared" si="37"/>
        <v>1571174.03</v>
      </c>
      <c r="L156" s="11">
        <f t="shared" si="38"/>
        <v>81293.8</v>
      </c>
      <c r="M156" s="11">
        <f t="shared" si="39"/>
        <v>1652467.83</v>
      </c>
      <c r="N156" s="11">
        <f t="shared" si="40"/>
        <v>1652467.83</v>
      </c>
      <c r="O156" s="11">
        <f t="shared" si="41"/>
        <v>1952127.125</v>
      </c>
      <c r="P156" s="12">
        <f>IF(AND(C156="F",M156&lt;O156,SUMIFS(Категории!$Z$5:$Z$11,Категории!$A$5:$A$11,B156)=1),1,0)</f>
        <v>0</v>
      </c>
      <c r="Q156" s="11">
        <f t="shared" si="42"/>
        <v>0</v>
      </c>
      <c r="R156" s="10">
        <f>IF(AND(P156=1,SUMIFS(Категории!$AA$5:$AA$11,Категории!$A$5:$A$11,B156)&gt;0),Q156/SUMIFS(Категории!$AA$5:$AA$11,Категории!$A$5:$A$11,B156),0)</f>
        <v>0</v>
      </c>
      <c r="S156" s="11">
        <f>R156*SUMIFS(Категории!$AB$5:$AB$11,Категории!$A$5:$A$11,B156)</f>
        <v>0</v>
      </c>
      <c r="T156" s="11">
        <f t="shared" si="43"/>
        <v>0</v>
      </c>
      <c r="U156" s="11">
        <f t="shared" si="44"/>
        <v>0</v>
      </c>
      <c r="V156" s="11">
        <f t="shared" si="45"/>
        <v>0</v>
      </c>
      <c r="W156" s="12">
        <f>IF(AND(C156="F",M156&lt;O156,SUMIFS(Категории!$AH$5:$AH$11,Категории!$A$5:$A$11,B156)=1),1,0)</f>
        <v>0</v>
      </c>
      <c r="X156" s="11">
        <f t="shared" si="46"/>
        <v>0</v>
      </c>
      <c r="Y156" s="10">
        <f>IF(AND(W156=1,SUMIFS(Категории!$AI$5:$AI$11,Категории!$A$5:$A$11,B156)&gt;0),X156/SUMIFS(Категории!$AI$5:$AI$11,Категории!$A$5:$A$11,B156),0)</f>
        <v>0</v>
      </c>
      <c r="Z156" s="11">
        <f>Y156*SUMIFS(Категории!$AJ$5:$AJ$11,Категории!$A$5:$A$11,B156)</f>
        <v>0</v>
      </c>
      <c r="AA156" s="11">
        <f t="shared" si="47"/>
        <v>0</v>
      </c>
      <c r="AB156" s="11">
        <f t="shared" si="48"/>
        <v>0</v>
      </c>
      <c r="AC156" s="11">
        <f t="shared" si="49"/>
        <v>0</v>
      </c>
      <c r="AD156" s="12">
        <f t="shared" si="50"/>
        <v>10</v>
      </c>
      <c r="AE156" s="12">
        <f t="shared" si="51"/>
        <v>40</v>
      </c>
      <c r="AF156" s="12">
        <f t="shared" si="52"/>
        <v>3</v>
      </c>
      <c r="AG156" s="12">
        <f t="shared" si="53"/>
        <v>21</v>
      </c>
    </row>
    <row r="157" spans="1:33" x14ac:dyDescent="0.3">
      <c r="A157" s="8" t="s">
        <v>218</v>
      </c>
      <c r="B157" s="8" t="s">
        <v>182</v>
      </c>
      <c r="C157" s="8" t="s">
        <v>61</v>
      </c>
      <c r="D157" s="9">
        <v>2321659.79</v>
      </c>
      <c r="E157" s="9">
        <v>138473.72</v>
      </c>
      <c r="F157" s="8">
        <v>12.4</v>
      </c>
      <c r="G157" s="8">
        <v>7</v>
      </c>
      <c r="H157" s="8">
        <v>1</v>
      </c>
      <c r="I157" s="8">
        <v>12</v>
      </c>
      <c r="J157" s="10">
        <f t="shared" si="36"/>
        <v>1</v>
      </c>
      <c r="K157" s="11">
        <f t="shared" si="37"/>
        <v>2321659.79</v>
      </c>
      <c r="L157" s="11">
        <f t="shared" si="38"/>
        <v>138473.72</v>
      </c>
      <c r="M157" s="11">
        <f t="shared" si="39"/>
        <v>2460133.5100000002</v>
      </c>
      <c r="N157" s="11">
        <f t="shared" si="40"/>
        <v>2460133.5100000002</v>
      </c>
      <c r="O157" s="11">
        <f t="shared" si="41"/>
        <v>1952127.125</v>
      </c>
      <c r="P157" s="12">
        <f>IF(AND(C157="F",M157&lt;O157,SUMIFS(Категории!$Z$5:$Z$11,Категории!$A$5:$A$11,B157)=1),1,0)</f>
        <v>0</v>
      </c>
      <c r="Q157" s="11">
        <f t="shared" si="42"/>
        <v>0</v>
      </c>
      <c r="R157" s="10">
        <f>IF(AND(P157=1,SUMIFS(Категории!$AA$5:$AA$11,Категории!$A$5:$A$11,B157)&gt;0),Q157/SUMIFS(Категории!$AA$5:$AA$11,Категории!$A$5:$A$11,B157),0)</f>
        <v>0</v>
      </c>
      <c r="S157" s="11">
        <f>R157*SUMIFS(Категории!$AB$5:$AB$11,Категории!$A$5:$A$11,B157)</f>
        <v>0</v>
      </c>
      <c r="T157" s="11">
        <f t="shared" si="43"/>
        <v>0</v>
      </c>
      <c r="U157" s="11">
        <f t="shared" si="44"/>
        <v>0</v>
      </c>
      <c r="V157" s="11">
        <f t="shared" si="45"/>
        <v>0</v>
      </c>
      <c r="W157" s="12">
        <f>IF(AND(C157="F",M157&lt;O157,SUMIFS(Категории!$AH$5:$AH$11,Категории!$A$5:$A$11,B157)=1),1,0)</f>
        <v>0</v>
      </c>
      <c r="X157" s="11">
        <f t="shared" si="46"/>
        <v>0</v>
      </c>
      <c r="Y157" s="10">
        <f>IF(AND(W157=1,SUMIFS(Категории!$AI$5:$AI$11,Категории!$A$5:$A$11,B157)&gt;0),X157/SUMIFS(Категории!$AI$5:$AI$11,Категории!$A$5:$A$11,B157),0)</f>
        <v>0</v>
      </c>
      <c r="Z157" s="11">
        <f>Y157*SUMIFS(Категории!$AJ$5:$AJ$11,Категории!$A$5:$A$11,B157)</f>
        <v>0</v>
      </c>
      <c r="AA157" s="11">
        <f t="shared" si="47"/>
        <v>0</v>
      </c>
      <c r="AB157" s="11">
        <f t="shared" si="48"/>
        <v>0</v>
      </c>
      <c r="AC157" s="11">
        <f t="shared" si="49"/>
        <v>0</v>
      </c>
      <c r="AD157" s="12">
        <f t="shared" si="50"/>
        <v>34</v>
      </c>
      <c r="AE157" s="12">
        <f t="shared" si="51"/>
        <v>40</v>
      </c>
      <c r="AF157" s="12">
        <f t="shared" si="52"/>
        <v>16</v>
      </c>
      <c r="AG157" s="12">
        <f t="shared" si="53"/>
        <v>21</v>
      </c>
    </row>
    <row r="158" spans="1:33" x14ac:dyDescent="0.3">
      <c r="A158" s="8" t="s">
        <v>219</v>
      </c>
      <c r="B158" s="8" t="s">
        <v>182</v>
      </c>
      <c r="C158" s="8" t="s">
        <v>66</v>
      </c>
      <c r="D158" s="9">
        <v>2170032.37</v>
      </c>
      <c r="E158" s="9">
        <v>151761.10999999999</v>
      </c>
      <c r="F158" s="8">
        <v>9.6999999999999993</v>
      </c>
      <c r="G158" s="8">
        <v>7</v>
      </c>
      <c r="H158" s="8">
        <v>1</v>
      </c>
      <c r="I158" s="8">
        <v>12</v>
      </c>
      <c r="J158" s="10">
        <f t="shared" si="36"/>
        <v>1</v>
      </c>
      <c r="K158" s="11">
        <f t="shared" si="37"/>
        <v>2170032.37</v>
      </c>
      <c r="L158" s="11">
        <f t="shared" si="38"/>
        <v>151761.10999999999</v>
      </c>
      <c r="M158" s="11">
        <f t="shared" si="39"/>
        <v>2321793.48</v>
      </c>
      <c r="N158" s="11">
        <f t="shared" si="40"/>
        <v>2321793.48</v>
      </c>
      <c r="O158" s="11">
        <f t="shared" si="41"/>
        <v>1952127.125</v>
      </c>
      <c r="P158" s="12">
        <f>IF(AND(C158="F",M158&lt;O158,SUMIFS(Категории!$Z$5:$Z$11,Категории!$A$5:$A$11,B158)=1),1,0)</f>
        <v>0</v>
      </c>
      <c r="Q158" s="11">
        <f t="shared" si="42"/>
        <v>0</v>
      </c>
      <c r="R158" s="10">
        <f>IF(AND(P158=1,SUMIFS(Категории!$AA$5:$AA$11,Категории!$A$5:$A$11,B158)&gt;0),Q158/SUMIFS(Категории!$AA$5:$AA$11,Категории!$A$5:$A$11,B158),0)</f>
        <v>0</v>
      </c>
      <c r="S158" s="11">
        <f>R158*SUMIFS(Категории!$AB$5:$AB$11,Категории!$A$5:$A$11,B158)</f>
        <v>0</v>
      </c>
      <c r="T158" s="11">
        <f t="shared" si="43"/>
        <v>0</v>
      </c>
      <c r="U158" s="11">
        <f t="shared" si="44"/>
        <v>0</v>
      </c>
      <c r="V158" s="11">
        <f t="shared" si="45"/>
        <v>0</v>
      </c>
      <c r="W158" s="12">
        <f>IF(AND(C158="F",M158&lt;O158,SUMIFS(Категории!$AH$5:$AH$11,Категории!$A$5:$A$11,B158)=1),1,0)</f>
        <v>0</v>
      </c>
      <c r="X158" s="11">
        <f t="shared" si="46"/>
        <v>0</v>
      </c>
      <c r="Y158" s="10">
        <f>IF(AND(W158=1,SUMIFS(Категории!$AI$5:$AI$11,Категории!$A$5:$A$11,B158)&gt;0),X158/SUMIFS(Категории!$AI$5:$AI$11,Категории!$A$5:$A$11,B158),0)</f>
        <v>0</v>
      </c>
      <c r="Z158" s="11">
        <f>Y158*SUMIFS(Категории!$AJ$5:$AJ$11,Категории!$A$5:$A$11,B158)</f>
        <v>0</v>
      </c>
      <c r="AA158" s="11">
        <f t="shared" si="47"/>
        <v>0</v>
      </c>
      <c r="AB158" s="11">
        <f t="shared" si="48"/>
        <v>0</v>
      </c>
      <c r="AC158" s="11">
        <f t="shared" si="49"/>
        <v>0</v>
      </c>
      <c r="AD158" s="12">
        <f t="shared" si="50"/>
        <v>30</v>
      </c>
      <c r="AE158" s="12">
        <f t="shared" si="51"/>
        <v>40</v>
      </c>
      <c r="AF158" s="12">
        <f t="shared" si="52"/>
        <v>18</v>
      </c>
      <c r="AG158" s="12">
        <f t="shared" si="53"/>
        <v>19</v>
      </c>
    </row>
    <row r="159" spans="1:33" x14ac:dyDescent="0.3">
      <c r="A159" s="8" t="s">
        <v>220</v>
      </c>
      <c r="B159" s="8" t="s">
        <v>182</v>
      </c>
      <c r="C159" s="8" t="s">
        <v>66</v>
      </c>
      <c r="D159" s="9">
        <v>1422163.42</v>
      </c>
      <c r="E159" s="9">
        <v>68078.009999999995</v>
      </c>
      <c r="F159" s="8">
        <v>3.3</v>
      </c>
      <c r="G159" s="8">
        <v>5</v>
      </c>
      <c r="H159" s="8">
        <v>1</v>
      </c>
      <c r="I159" s="8">
        <v>12</v>
      </c>
      <c r="J159" s="10">
        <f t="shared" si="36"/>
        <v>1</v>
      </c>
      <c r="K159" s="11">
        <f t="shared" si="37"/>
        <v>1422163.42</v>
      </c>
      <c r="L159" s="11">
        <f t="shared" si="38"/>
        <v>68078.009999999995</v>
      </c>
      <c r="M159" s="11">
        <f t="shared" si="39"/>
        <v>1490241.43</v>
      </c>
      <c r="N159" s="11">
        <f t="shared" si="40"/>
        <v>1490241.43</v>
      </c>
      <c r="O159" s="11">
        <f t="shared" si="41"/>
        <v>1952127.125</v>
      </c>
      <c r="P159" s="12">
        <f>IF(AND(C159="F",M159&lt;O159,SUMIFS(Категории!$Z$5:$Z$11,Категории!$A$5:$A$11,B159)=1),1,0)</f>
        <v>1</v>
      </c>
      <c r="Q159" s="11">
        <f t="shared" si="42"/>
        <v>461885.69500000007</v>
      </c>
      <c r="R159" s="10">
        <f>IF(AND(P159=1,SUMIFS(Категории!$AA$5:$AA$11,Категории!$A$5:$A$11,B159)&gt;0),Q159/SUMIFS(Категории!$AA$5:$AA$11,Категории!$A$5:$A$11,B159),0)</f>
        <v>0.10925309071403985</v>
      </c>
      <c r="S159" s="11">
        <f>R159*SUMIFS(Категории!$AB$5:$AB$11,Категории!$A$5:$A$11,B159)</f>
        <v>74801.720242672716</v>
      </c>
      <c r="T159" s="11">
        <f t="shared" si="43"/>
        <v>74801.720242672716</v>
      </c>
      <c r="U159" s="11">
        <f t="shared" si="44"/>
        <v>22440.516072801813</v>
      </c>
      <c r="V159" s="11">
        <f t="shared" si="45"/>
        <v>97242.236315474525</v>
      </c>
      <c r="W159" s="12">
        <f>IF(AND(C159="F",M159&lt;O159,SUMIFS(Категории!$AH$5:$AH$11,Категории!$A$5:$A$11,B159)=1),1,0)</f>
        <v>1</v>
      </c>
      <c r="X159" s="11">
        <f t="shared" si="46"/>
        <v>461885.69500000007</v>
      </c>
      <c r="Y159" s="10">
        <f>IF(AND(W159=1,SUMIFS(Категории!$AI$5:$AI$11,Категории!$A$5:$A$11,B159)&gt;0),X159/SUMIFS(Категории!$AI$5:$AI$11,Категории!$A$5:$A$11,B159),0)</f>
        <v>0.10925309071403985</v>
      </c>
      <c r="Z159" s="11">
        <f>Y159*SUMIFS(Категории!$AJ$5:$AJ$11,Категории!$A$5:$A$11,B159)</f>
        <v>300209.23441966309</v>
      </c>
      <c r="AA159" s="11">
        <f t="shared" si="47"/>
        <v>300209.23441966309</v>
      </c>
      <c r="AB159" s="11">
        <f t="shared" si="48"/>
        <v>90062.77032589892</v>
      </c>
      <c r="AC159" s="11">
        <f t="shared" si="49"/>
        <v>390272.00474556198</v>
      </c>
      <c r="AD159" s="12">
        <f t="shared" si="50"/>
        <v>2</v>
      </c>
      <c r="AE159" s="12">
        <f t="shared" si="51"/>
        <v>40</v>
      </c>
      <c r="AF159" s="12">
        <f t="shared" si="52"/>
        <v>2</v>
      </c>
      <c r="AG159" s="12">
        <f t="shared" si="53"/>
        <v>19</v>
      </c>
    </row>
    <row r="160" spans="1:33" x14ac:dyDescent="0.3">
      <c r="A160" s="8" t="s">
        <v>221</v>
      </c>
      <c r="B160" s="8" t="s">
        <v>182</v>
      </c>
      <c r="C160" s="8" t="s">
        <v>61</v>
      </c>
      <c r="D160" s="9">
        <v>1845331.05</v>
      </c>
      <c r="E160" s="9">
        <v>89067.78</v>
      </c>
      <c r="F160" s="8">
        <v>11.8</v>
      </c>
      <c r="G160" s="8">
        <v>5</v>
      </c>
      <c r="H160" s="8">
        <v>1</v>
      </c>
      <c r="I160" s="8">
        <v>12</v>
      </c>
      <c r="J160" s="10">
        <f t="shared" si="36"/>
        <v>1</v>
      </c>
      <c r="K160" s="11">
        <f t="shared" si="37"/>
        <v>1845331.05</v>
      </c>
      <c r="L160" s="11">
        <f t="shared" si="38"/>
        <v>89067.78</v>
      </c>
      <c r="M160" s="11">
        <f t="shared" si="39"/>
        <v>1934398.83</v>
      </c>
      <c r="N160" s="11">
        <f t="shared" si="40"/>
        <v>1934398.83</v>
      </c>
      <c r="O160" s="11">
        <f t="shared" si="41"/>
        <v>1952127.125</v>
      </c>
      <c r="P160" s="12">
        <f>IF(AND(C160="F",M160&lt;O160,SUMIFS(Категории!$Z$5:$Z$11,Категории!$A$5:$A$11,B160)=1),1,0)</f>
        <v>0</v>
      </c>
      <c r="Q160" s="11">
        <f t="shared" si="42"/>
        <v>0</v>
      </c>
      <c r="R160" s="10">
        <f>IF(AND(P160=1,SUMIFS(Категории!$AA$5:$AA$11,Категории!$A$5:$A$11,B160)&gt;0),Q160/SUMIFS(Категории!$AA$5:$AA$11,Категории!$A$5:$A$11,B160),0)</f>
        <v>0</v>
      </c>
      <c r="S160" s="11">
        <f>R160*SUMIFS(Категории!$AB$5:$AB$11,Категории!$A$5:$A$11,B160)</f>
        <v>0</v>
      </c>
      <c r="T160" s="11">
        <f t="shared" si="43"/>
        <v>0</v>
      </c>
      <c r="U160" s="11">
        <f t="shared" si="44"/>
        <v>0</v>
      </c>
      <c r="V160" s="11">
        <f t="shared" si="45"/>
        <v>0</v>
      </c>
      <c r="W160" s="12">
        <f>IF(AND(C160="F",M160&lt;O160,SUMIFS(Категории!$AH$5:$AH$11,Категории!$A$5:$A$11,B160)=1),1,0)</f>
        <v>0</v>
      </c>
      <c r="X160" s="11">
        <f t="shared" si="46"/>
        <v>0</v>
      </c>
      <c r="Y160" s="10">
        <f>IF(AND(W160=1,SUMIFS(Категории!$AI$5:$AI$11,Категории!$A$5:$A$11,B160)&gt;0),X160/SUMIFS(Категории!$AI$5:$AI$11,Категории!$A$5:$A$11,B160),0)</f>
        <v>0</v>
      </c>
      <c r="Z160" s="11">
        <f>Y160*SUMIFS(Категории!$AJ$5:$AJ$11,Категории!$A$5:$A$11,B160)</f>
        <v>0</v>
      </c>
      <c r="AA160" s="11">
        <f t="shared" si="47"/>
        <v>0</v>
      </c>
      <c r="AB160" s="11">
        <f t="shared" si="48"/>
        <v>0</v>
      </c>
      <c r="AC160" s="11">
        <f t="shared" si="49"/>
        <v>0</v>
      </c>
      <c r="AD160" s="12">
        <f t="shared" si="50"/>
        <v>20</v>
      </c>
      <c r="AE160" s="12">
        <f t="shared" si="51"/>
        <v>40</v>
      </c>
      <c r="AF160" s="12">
        <f t="shared" si="52"/>
        <v>8</v>
      </c>
      <c r="AG160" s="12">
        <f t="shared" si="53"/>
        <v>21</v>
      </c>
    </row>
    <row r="161" spans="1:33" x14ac:dyDescent="0.3">
      <c r="A161" s="8" t="s">
        <v>222</v>
      </c>
      <c r="B161" s="8" t="s">
        <v>223</v>
      </c>
      <c r="C161" s="8" t="s">
        <v>66</v>
      </c>
      <c r="D161" s="9">
        <v>995981.31</v>
      </c>
      <c r="E161" s="9">
        <v>47619.46</v>
      </c>
      <c r="F161" s="8">
        <v>4.5999999999999996</v>
      </c>
      <c r="G161" s="8">
        <v>3</v>
      </c>
      <c r="H161" s="8">
        <v>1</v>
      </c>
      <c r="I161" s="8">
        <v>10</v>
      </c>
      <c r="J161" s="10">
        <f t="shared" si="36"/>
        <v>0.83333333333333337</v>
      </c>
      <c r="K161" s="11">
        <f t="shared" si="37"/>
        <v>1195177.5719999999</v>
      </c>
      <c r="L161" s="11">
        <f t="shared" si="38"/>
        <v>57143.351999999999</v>
      </c>
      <c r="M161" s="11">
        <f t="shared" si="39"/>
        <v>1252320.9239999999</v>
      </c>
      <c r="N161" s="11">
        <f t="shared" si="40"/>
        <v>1043600.77</v>
      </c>
      <c r="O161" s="11">
        <f t="shared" si="41"/>
        <v>1514155.4750000001</v>
      </c>
      <c r="P161" s="12">
        <f>IF(AND(C161="F",M161&lt;O161,SUMIFS(Категории!$Z$5:$Z$11,Категории!$A$5:$A$11,B161)=1),1,0)</f>
        <v>1</v>
      </c>
      <c r="Q161" s="11">
        <f t="shared" si="42"/>
        <v>261834.55100000021</v>
      </c>
      <c r="R161" s="10">
        <f>IF(AND(P161=1,SUMIFS(Категории!$AA$5:$AA$11,Категории!$A$5:$A$11,B161)&gt;0),Q161/SUMIFS(Категории!$AA$5:$AA$11,Категории!$A$5:$A$11,B161),0)</f>
        <v>0.13047334542208192</v>
      </c>
      <c r="S161" s="11">
        <f>R161*SUMIFS(Категории!$AB$5:$AB$11,Категории!$A$5:$A$11,B161)</f>
        <v>34610.668313299051</v>
      </c>
      <c r="T161" s="11">
        <f t="shared" si="43"/>
        <v>28842.223594415878</v>
      </c>
      <c r="U161" s="11">
        <f t="shared" si="44"/>
        <v>8652.6670783247628</v>
      </c>
      <c r="V161" s="11">
        <f t="shared" si="45"/>
        <v>37494.890672740643</v>
      </c>
      <c r="W161" s="12">
        <f>IF(AND(C161="F",M161&lt;O161,SUMIFS(Категории!$AH$5:$AH$11,Категории!$A$5:$A$11,B161)=1),1,0)</f>
        <v>1</v>
      </c>
      <c r="X161" s="11">
        <f t="shared" si="46"/>
        <v>261834.55100000021</v>
      </c>
      <c r="Y161" s="10">
        <f>IF(AND(W161=1,SUMIFS(Категории!$AI$5:$AI$11,Категории!$A$5:$A$11,B161)&gt;0),X161/SUMIFS(Категории!$AI$5:$AI$11,Категории!$A$5:$A$11,B161),0)</f>
        <v>0.13047334542208192</v>
      </c>
      <c r="Z161" s="11">
        <f>Y161*SUMIFS(Категории!$AJ$5:$AJ$11,Категории!$A$5:$A$11,B161)</f>
        <v>179023.06002525787</v>
      </c>
      <c r="AA161" s="11">
        <f t="shared" si="47"/>
        <v>149185.88335438157</v>
      </c>
      <c r="AB161" s="11">
        <f t="shared" si="48"/>
        <v>44755.765006314468</v>
      </c>
      <c r="AC161" s="11">
        <f t="shared" si="49"/>
        <v>193941.64836069604</v>
      </c>
      <c r="AD161" s="12">
        <f t="shared" si="50"/>
        <v>3</v>
      </c>
      <c r="AE161" s="12">
        <f t="shared" si="51"/>
        <v>30</v>
      </c>
      <c r="AF161" s="12">
        <f t="shared" si="52"/>
        <v>3</v>
      </c>
      <c r="AG161" s="12">
        <f t="shared" si="53"/>
        <v>13</v>
      </c>
    </row>
    <row r="162" spans="1:33" x14ac:dyDescent="0.3">
      <c r="A162" s="8" t="s">
        <v>224</v>
      </c>
      <c r="B162" s="8" t="s">
        <v>223</v>
      </c>
      <c r="C162" s="8" t="s">
        <v>61</v>
      </c>
      <c r="D162" s="9">
        <v>1287809.25</v>
      </c>
      <c r="E162" s="9">
        <v>60180.68</v>
      </c>
      <c r="F162" s="8">
        <v>5.0999999999999996</v>
      </c>
      <c r="G162" s="8">
        <v>3</v>
      </c>
      <c r="H162" s="8">
        <v>1</v>
      </c>
      <c r="I162" s="8">
        <v>12</v>
      </c>
      <c r="J162" s="10">
        <f t="shared" si="36"/>
        <v>1</v>
      </c>
      <c r="K162" s="11">
        <f t="shared" si="37"/>
        <v>1287809.25</v>
      </c>
      <c r="L162" s="11">
        <f t="shared" si="38"/>
        <v>60180.68</v>
      </c>
      <c r="M162" s="11">
        <f t="shared" si="39"/>
        <v>1347989.93</v>
      </c>
      <c r="N162" s="11">
        <f t="shared" si="40"/>
        <v>1347989.93</v>
      </c>
      <c r="O162" s="11">
        <f t="shared" si="41"/>
        <v>1514155.4750000001</v>
      </c>
      <c r="P162" s="12">
        <f>IF(AND(C162="F",M162&lt;O162,SUMIFS(Категории!$Z$5:$Z$11,Категории!$A$5:$A$11,B162)=1),1,0)</f>
        <v>0</v>
      </c>
      <c r="Q162" s="11">
        <f t="shared" si="42"/>
        <v>0</v>
      </c>
      <c r="R162" s="10">
        <f>IF(AND(P162=1,SUMIFS(Категории!$AA$5:$AA$11,Категории!$A$5:$A$11,B162)&gt;0),Q162/SUMIFS(Категории!$AA$5:$AA$11,Категории!$A$5:$A$11,B162),0)</f>
        <v>0</v>
      </c>
      <c r="S162" s="11">
        <f>R162*SUMIFS(Категории!$AB$5:$AB$11,Категории!$A$5:$A$11,B162)</f>
        <v>0</v>
      </c>
      <c r="T162" s="11">
        <f t="shared" si="43"/>
        <v>0</v>
      </c>
      <c r="U162" s="11">
        <f t="shared" si="44"/>
        <v>0</v>
      </c>
      <c r="V162" s="11">
        <f t="shared" si="45"/>
        <v>0</v>
      </c>
      <c r="W162" s="12">
        <f>IF(AND(C162="F",M162&lt;O162,SUMIFS(Категории!$AH$5:$AH$11,Категории!$A$5:$A$11,B162)=1),1,0)</f>
        <v>0</v>
      </c>
      <c r="X162" s="11">
        <f t="shared" si="46"/>
        <v>0</v>
      </c>
      <c r="Y162" s="10">
        <f>IF(AND(W162=1,SUMIFS(Категории!$AI$5:$AI$11,Категории!$A$5:$A$11,B162)&gt;0),X162/SUMIFS(Категории!$AI$5:$AI$11,Категории!$A$5:$A$11,B162),0)</f>
        <v>0</v>
      </c>
      <c r="Z162" s="11">
        <f>Y162*SUMIFS(Категории!$AJ$5:$AJ$11,Категории!$A$5:$A$11,B162)</f>
        <v>0</v>
      </c>
      <c r="AA162" s="11">
        <f t="shared" si="47"/>
        <v>0</v>
      </c>
      <c r="AB162" s="11">
        <f t="shared" si="48"/>
        <v>0</v>
      </c>
      <c r="AC162" s="11">
        <f t="shared" si="49"/>
        <v>0</v>
      </c>
      <c r="AD162" s="12">
        <f t="shared" si="50"/>
        <v>10</v>
      </c>
      <c r="AE162" s="12">
        <f t="shared" si="51"/>
        <v>30</v>
      </c>
      <c r="AF162" s="12">
        <f t="shared" si="52"/>
        <v>2</v>
      </c>
      <c r="AG162" s="12">
        <f t="shared" si="53"/>
        <v>17</v>
      </c>
    </row>
    <row r="163" spans="1:33" x14ac:dyDescent="0.3">
      <c r="A163" s="8" t="s">
        <v>225</v>
      </c>
      <c r="B163" s="8" t="s">
        <v>223</v>
      </c>
      <c r="C163" s="8" t="s">
        <v>61</v>
      </c>
      <c r="D163" s="9">
        <v>1176660.08</v>
      </c>
      <c r="E163" s="9">
        <v>58432.32</v>
      </c>
      <c r="F163" s="8">
        <v>6.1</v>
      </c>
      <c r="G163" s="8">
        <v>5</v>
      </c>
      <c r="H163" s="8">
        <v>0.75</v>
      </c>
      <c r="I163" s="8">
        <v>12</v>
      </c>
      <c r="J163" s="10">
        <f t="shared" si="36"/>
        <v>0.75</v>
      </c>
      <c r="K163" s="11">
        <f t="shared" si="37"/>
        <v>1568880.1066666667</v>
      </c>
      <c r="L163" s="11">
        <f t="shared" si="38"/>
        <v>77909.759999999995</v>
      </c>
      <c r="M163" s="11">
        <f t="shared" si="39"/>
        <v>1646789.8666666667</v>
      </c>
      <c r="N163" s="11">
        <f t="shared" si="40"/>
        <v>1235092.4000000001</v>
      </c>
      <c r="O163" s="11">
        <f t="shared" si="41"/>
        <v>1514155.4750000001</v>
      </c>
      <c r="P163" s="12">
        <f>IF(AND(C163="F",M163&lt;O163,SUMIFS(Категории!$Z$5:$Z$11,Категории!$A$5:$A$11,B163)=1),1,0)</f>
        <v>0</v>
      </c>
      <c r="Q163" s="11">
        <f t="shared" si="42"/>
        <v>0</v>
      </c>
      <c r="R163" s="10">
        <f>IF(AND(P163=1,SUMIFS(Категории!$AA$5:$AA$11,Категории!$A$5:$A$11,B163)&gt;0),Q163/SUMIFS(Категории!$AA$5:$AA$11,Категории!$A$5:$A$11,B163),0)</f>
        <v>0</v>
      </c>
      <c r="S163" s="11">
        <f>R163*SUMIFS(Категории!$AB$5:$AB$11,Категории!$A$5:$A$11,B163)</f>
        <v>0</v>
      </c>
      <c r="T163" s="11">
        <f t="shared" si="43"/>
        <v>0</v>
      </c>
      <c r="U163" s="11">
        <f t="shared" si="44"/>
        <v>0</v>
      </c>
      <c r="V163" s="11">
        <f t="shared" si="45"/>
        <v>0</v>
      </c>
      <c r="W163" s="12">
        <f>IF(AND(C163="F",M163&lt;O163,SUMIFS(Категории!$AH$5:$AH$11,Категории!$A$5:$A$11,B163)=1),1,0)</f>
        <v>0</v>
      </c>
      <c r="X163" s="11">
        <f t="shared" si="46"/>
        <v>0</v>
      </c>
      <c r="Y163" s="10">
        <f>IF(AND(W163=1,SUMIFS(Категории!$AI$5:$AI$11,Категории!$A$5:$A$11,B163)&gt;0),X163/SUMIFS(Категории!$AI$5:$AI$11,Категории!$A$5:$A$11,B163),0)</f>
        <v>0</v>
      </c>
      <c r="Z163" s="11">
        <f>Y163*SUMIFS(Категории!$AJ$5:$AJ$11,Категории!$A$5:$A$11,B163)</f>
        <v>0</v>
      </c>
      <c r="AA163" s="11">
        <f t="shared" si="47"/>
        <v>0</v>
      </c>
      <c r="AB163" s="11">
        <f t="shared" si="48"/>
        <v>0</v>
      </c>
      <c r="AC163" s="11">
        <f t="shared" si="49"/>
        <v>0</v>
      </c>
      <c r="AD163" s="12">
        <f t="shared" si="50"/>
        <v>19</v>
      </c>
      <c r="AE163" s="12">
        <f t="shared" si="51"/>
        <v>30</v>
      </c>
      <c r="AF163" s="12">
        <f t="shared" si="52"/>
        <v>9</v>
      </c>
      <c r="AG163" s="12">
        <f t="shared" si="53"/>
        <v>17</v>
      </c>
    </row>
    <row r="164" spans="1:33" x14ac:dyDescent="0.3">
      <c r="A164" s="8" t="s">
        <v>226</v>
      </c>
      <c r="B164" s="8" t="s">
        <v>223</v>
      </c>
      <c r="C164" s="8" t="s">
        <v>61</v>
      </c>
      <c r="D164" s="9">
        <v>1950767.85</v>
      </c>
      <c r="E164" s="9">
        <v>94138.91</v>
      </c>
      <c r="F164" s="8">
        <v>12.6</v>
      </c>
      <c r="G164" s="8">
        <v>6</v>
      </c>
      <c r="H164" s="8">
        <v>1</v>
      </c>
      <c r="I164" s="8">
        <v>12</v>
      </c>
      <c r="J164" s="10">
        <f t="shared" si="36"/>
        <v>1</v>
      </c>
      <c r="K164" s="11">
        <f t="shared" si="37"/>
        <v>1950767.85</v>
      </c>
      <c r="L164" s="11">
        <f t="shared" si="38"/>
        <v>94138.91</v>
      </c>
      <c r="M164" s="11">
        <f t="shared" si="39"/>
        <v>2044906.76</v>
      </c>
      <c r="N164" s="11">
        <f t="shared" si="40"/>
        <v>2044906.76</v>
      </c>
      <c r="O164" s="11">
        <f t="shared" si="41"/>
        <v>1514155.4750000001</v>
      </c>
      <c r="P164" s="12">
        <f>IF(AND(C164="F",M164&lt;O164,SUMIFS(Категории!$Z$5:$Z$11,Категории!$A$5:$A$11,B164)=1),1,0)</f>
        <v>0</v>
      </c>
      <c r="Q164" s="11">
        <f t="shared" si="42"/>
        <v>0</v>
      </c>
      <c r="R164" s="10">
        <f>IF(AND(P164=1,SUMIFS(Категории!$AA$5:$AA$11,Категории!$A$5:$A$11,B164)&gt;0),Q164/SUMIFS(Категории!$AA$5:$AA$11,Категории!$A$5:$A$11,B164),0)</f>
        <v>0</v>
      </c>
      <c r="S164" s="11">
        <f>R164*SUMIFS(Категории!$AB$5:$AB$11,Категории!$A$5:$A$11,B164)</f>
        <v>0</v>
      </c>
      <c r="T164" s="11">
        <f t="shared" si="43"/>
        <v>0</v>
      </c>
      <c r="U164" s="11">
        <f t="shared" si="44"/>
        <v>0</v>
      </c>
      <c r="V164" s="11">
        <f t="shared" si="45"/>
        <v>0</v>
      </c>
      <c r="W164" s="12">
        <f>IF(AND(C164="F",M164&lt;O164,SUMIFS(Категории!$AH$5:$AH$11,Категории!$A$5:$A$11,B164)=1),1,0)</f>
        <v>0</v>
      </c>
      <c r="X164" s="11">
        <f t="shared" si="46"/>
        <v>0</v>
      </c>
      <c r="Y164" s="10">
        <f>IF(AND(W164=1,SUMIFS(Категории!$AI$5:$AI$11,Категории!$A$5:$A$11,B164)&gt;0),X164/SUMIFS(Категории!$AI$5:$AI$11,Категории!$A$5:$A$11,B164),0)</f>
        <v>0</v>
      </c>
      <c r="Z164" s="11">
        <f>Y164*SUMIFS(Категории!$AJ$5:$AJ$11,Категории!$A$5:$A$11,B164)</f>
        <v>0</v>
      </c>
      <c r="AA164" s="11">
        <f t="shared" si="47"/>
        <v>0</v>
      </c>
      <c r="AB164" s="11">
        <f t="shared" si="48"/>
        <v>0</v>
      </c>
      <c r="AC164" s="11">
        <f t="shared" si="49"/>
        <v>0</v>
      </c>
      <c r="AD164" s="12">
        <f t="shared" si="50"/>
        <v>28</v>
      </c>
      <c r="AE164" s="12">
        <f t="shared" si="51"/>
        <v>30</v>
      </c>
      <c r="AF164" s="12">
        <f t="shared" si="52"/>
        <v>15</v>
      </c>
      <c r="AG164" s="12">
        <f t="shared" si="53"/>
        <v>17</v>
      </c>
    </row>
    <row r="165" spans="1:33" x14ac:dyDescent="0.3">
      <c r="A165" s="8" t="s">
        <v>227</v>
      </c>
      <c r="B165" s="8" t="s">
        <v>223</v>
      </c>
      <c r="C165" s="8" t="s">
        <v>61</v>
      </c>
      <c r="D165" s="9">
        <v>1952403.89</v>
      </c>
      <c r="E165" s="9">
        <v>93988.97</v>
      </c>
      <c r="F165" s="8">
        <v>8.6</v>
      </c>
      <c r="G165" s="8">
        <v>6</v>
      </c>
      <c r="H165" s="8">
        <v>1</v>
      </c>
      <c r="I165" s="8">
        <v>12</v>
      </c>
      <c r="J165" s="10">
        <f t="shared" si="36"/>
        <v>1</v>
      </c>
      <c r="K165" s="11">
        <f t="shared" si="37"/>
        <v>1952403.89</v>
      </c>
      <c r="L165" s="11">
        <f t="shared" si="38"/>
        <v>93988.97</v>
      </c>
      <c r="M165" s="11">
        <f t="shared" si="39"/>
        <v>2046392.8599999999</v>
      </c>
      <c r="N165" s="11">
        <f t="shared" si="40"/>
        <v>2046392.8599999999</v>
      </c>
      <c r="O165" s="11">
        <f t="shared" si="41"/>
        <v>1514155.4750000001</v>
      </c>
      <c r="P165" s="12">
        <f>IF(AND(C165="F",M165&lt;O165,SUMIFS(Категории!$Z$5:$Z$11,Категории!$A$5:$A$11,B165)=1),1,0)</f>
        <v>0</v>
      </c>
      <c r="Q165" s="11">
        <f t="shared" si="42"/>
        <v>0</v>
      </c>
      <c r="R165" s="10">
        <f>IF(AND(P165=1,SUMIFS(Категории!$AA$5:$AA$11,Категории!$A$5:$A$11,B165)&gt;0),Q165/SUMIFS(Категории!$AA$5:$AA$11,Категории!$A$5:$A$11,B165),0)</f>
        <v>0</v>
      </c>
      <c r="S165" s="11">
        <f>R165*SUMIFS(Категории!$AB$5:$AB$11,Категории!$A$5:$A$11,B165)</f>
        <v>0</v>
      </c>
      <c r="T165" s="11">
        <f t="shared" si="43"/>
        <v>0</v>
      </c>
      <c r="U165" s="11">
        <f t="shared" si="44"/>
        <v>0</v>
      </c>
      <c r="V165" s="11">
        <f t="shared" si="45"/>
        <v>0</v>
      </c>
      <c r="W165" s="12">
        <f>IF(AND(C165="F",M165&lt;O165,SUMIFS(Категории!$AH$5:$AH$11,Категории!$A$5:$A$11,B165)=1),1,0)</f>
        <v>0</v>
      </c>
      <c r="X165" s="11">
        <f t="shared" si="46"/>
        <v>0</v>
      </c>
      <c r="Y165" s="10">
        <f>IF(AND(W165=1,SUMIFS(Категории!$AI$5:$AI$11,Категории!$A$5:$A$11,B165)&gt;0),X165/SUMIFS(Категории!$AI$5:$AI$11,Категории!$A$5:$A$11,B165),0)</f>
        <v>0</v>
      </c>
      <c r="Z165" s="11">
        <f>Y165*SUMIFS(Категории!$AJ$5:$AJ$11,Категории!$A$5:$A$11,B165)</f>
        <v>0</v>
      </c>
      <c r="AA165" s="11">
        <f t="shared" si="47"/>
        <v>0</v>
      </c>
      <c r="AB165" s="11">
        <f t="shared" si="48"/>
        <v>0</v>
      </c>
      <c r="AC165" s="11">
        <f t="shared" si="49"/>
        <v>0</v>
      </c>
      <c r="AD165" s="12">
        <f t="shared" si="50"/>
        <v>29</v>
      </c>
      <c r="AE165" s="12">
        <f t="shared" si="51"/>
        <v>30</v>
      </c>
      <c r="AF165" s="12">
        <f t="shared" si="52"/>
        <v>16</v>
      </c>
      <c r="AG165" s="12">
        <f t="shared" si="53"/>
        <v>17</v>
      </c>
    </row>
    <row r="166" spans="1:33" x14ac:dyDescent="0.3">
      <c r="A166" s="8" t="s">
        <v>228</v>
      </c>
      <c r="B166" s="8" t="s">
        <v>223</v>
      </c>
      <c r="C166" s="8" t="s">
        <v>66</v>
      </c>
      <c r="D166" s="9">
        <v>1140207.74</v>
      </c>
      <c r="E166" s="9">
        <v>64578.96</v>
      </c>
      <c r="F166" s="8">
        <v>4.3</v>
      </c>
      <c r="G166" s="8">
        <v>3</v>
      </c>
      <c r="H166" s="8">
        <v>1</v>
      </c>
      <c r="I166" s="8">
        <v>12</v>
      </c>
      <c r="J166" s="10">
        <f t="shared" si="36"/>
        <v>1</v>
      </c>
      <c r="K166" s="11">
        <f t="shared" si="37"/>
        <v>1140207.74</v>
      </c>
      <c r="L166" s="11">
        <f t="shared" si="38"/>
        <v>64578.96</v>
      </c>
      <c r="M166" s="11">
        <f t="shared" si="39"/>
        <v>1204786.7</v>
      </c>
      <c r="N166" s="11">
        <f t="shared" si="40"/>
        <v>1204786.7</v>
      </c>
      <c r="O166" s="11">
        <f t="shared" si="41"/>
        <v>1514155.4750000001</v>
      </c>
      <c r="P166" s="12">
        <f>IF(AND(C166="F",M166&lt;O166,SUMIFS(Категории!$Z$5:$Z$11,Категории!$A$5:$A$11,B166)=1),1,0)</f>
        <v>1</v>
      </c>
      <c r="Q166" s="11">
        <f t="shared" si="42"/>
        <v>309368.77500000014</v>
      </c>
      <c r="R166" s="10">
        <f>IF(AND(P166=1,SUMIFS(Категории!$AA$5:$AA$11,Категории!$A$5:$A$11,B166)&gt;0),Q166/SUMIFS(Категории!$AA$5:$AA$11,Категории!$A$5:$A$11,B166),0)</f>
        <v>0.15415986503393636</v>
      </c>
      <c r="S166" s="11">
        <f>R166*SUMIFS(Категории!$AB$5:$AB$11,Категории!$A$5:$A$11,B166)</f>
        <v>40893.992092039218</v>
      </c>
      <c r="T166" s="11">
        <f t="shared" si="43"/>
        <v>40893.992092039218</v>
      </c>
      <c r="U166" s="11">
        <f t="shared" si="44"/>
        <v>12268.197627611766</v>
      </c>
      <c r="V166" s="11">
        <f t="shared" si="45"/>
        <v>53162.189719650982</v>
      </c>
      <c r="W166" s="12">
        <f>IF(AND(C166="F",M166&lt;O166,SUMIFS(Категории!$AH$5:$AH$11,Категории!$A$5:$A$11,B166)=1),1,0)</f>
        <v>1</v>
      </c>
      <c r="X166" s="11">
        <f t="shared" si="46"/>
        <v>309368.77500000014</v>
      </c>
      <c r="Y166" s="10">
        <f>IF(AND(W166=1,SUMIFS(Категории!$AI$5:$AI$11,Категории!$A$5:$A$11,B166)&gt;0),X166/SUMIFS(Категории!$AI$5:$AI$11,Категории!$A$5:$A$11,B166),0)</f>
        <v>0.15415986503393636</v>
      </c>
      <c r="Z166" s="11">
        <f>Y166*SUMIFS(Категории!$AJ$5:$AJ$11,Категории!$A$5:$A$11,B166)</f>
        <v>211523.43938277834</v>
      </c>
      <c r="AA166" s="11">
        <f t="shared" si="47"/>
        <v>211523.43938277834</v>
      </c>
      <c r="AB166" s="11">
        <f t="shared" si="48"/>
        <v>63457.031814833499</v>
      </c>
      <c r="AC166" s="11">
        <f t="shared" si="49"/>
        <v>274980.47119761183</v>
      </c>
      <c r="AD166" s="12">
        <f t="shared" si="50"/>
        <v>1</v>
      </c>
      <c r="AE166" s="12">
        <f t="shared" si="51"/>
        <v>30</v>
      </c>
      <c r="AF166" s="12">
        <f t="shared" si="52"/>
        <v>1</v>
      </c>
      <c r="AG166" s="12">
        <f t="shared" si="53"/>
        <v>13</v>
      </c>
    </row>
    <row r="167" spans="1:33" x14ac:dyDescent="0.3">
      <c r="A167" s="8" t="s">
        <v>229</v>
      </c>
      <c r="B167" s="8" t="s">
        <v>223</v>
      </c>
      <c r="C167" s="8" t="s">
        <v>66</v>
      </c>
      <c r="D167" s="9">
        <v>821464.09</v>
      </c>
      <c r="E167" s="9">
        <v>41049.32</v>
      </c>
      <c r="F167" s="8">
        <v>8.9</v>
      </c>
      <c r="G167" s="8">
        <v>5</v>
      </c>
      <c r="H167" s="8">
        <v>0.5</v>
      </c>
      <c r="I167" s="8">
        <v>12</v>
      </c>
      <c r="J167" s="10">
        <f t="shared" si="36"/>
        <v>0.5</v>
      </c>
      <c r="K167" s="11">
        <f t="shared" si="37"/>
        <v>1642928.18</v>
      </c>
      <c r="L167" s="11">
        <f t="shared" si="38"/>
        <v>82098.64</v>
      </c>
      <c r="M167" s="11">
        <f t="shared" si="39"/>
        <v>1725026.8199999998</v>
      </c>
      <c r="N167" s="11">
        <f t="shared" si="40"/>
        <v>862513.40999999992</v>
      </c>
      <c r="O167" s="11">
        <f t="shared" si="41"/>
        <v>1514155.4750000001</v>
      </c>
      <c r="P167" s="12">
        <f>IF(AND(C167="F",M167&lt;O167,SUMIFS(Категории!$Z$5:$Z$11,Категории!$A$5:$A$11,B167)=1),1,0)</f>
        <v>0</v>
      </c>
      <c r="Q167" s="11">
        <f t="shared" si="42"/>
        <v>0</v>
      </c>
      <c r="R167" s="10">
        <f>IF(AND(P167=1,SUMIFS(Категории!$AA$5:$AA$11,Категории!$A$5:$A$11,B167)&gt;0),Q167/SUMIFS(Категории!$AA$5:$AA$11,Категории!$A$5:$A$11,B167),0)</f>
        <v>0</v>
      </c>
      <c r="S167" s="11">
        <f>R167*SUMIFS(Категории!$AB$5:$AB$11,Категории!$A$5:$A$11,B167)</f>
        <v>0</v>
      </c>
      <c r="T167" s="11">
        <f t="shared" si="43"/>
        <v>0</v>
      </c>
      <c r="U167" s="11">
        <f t="shared" si="44"/>
        <v>0</v>
      </c>
      <c r="V167" s="11">
        <f t="shared" si="45"/>
        <v>0</v>
      </c>
      <c r="W167" s="12">
        <f>IF(AND(C167="F",M167&lt;O167,SUMIFS(Категории!$AH$5:$AH$11,Категории!$A$5:$A$11,B167)=1),1,0)</f>
        <v>0</v>
      </c>
      <c r="X167" s="11">
        <f t="shared" si="46"/>
        <v>0</v>
      </c>
      <c r="Y167" s="10">
        <f>IF(AND(W167=1,SUMIFS(Категории!$AI$5:$AI$11,Категории!$A$5:$A$11,B167)&gt;0),X167/SUMIFS(Категории!$AI$5:$AI$11,Категории!$A$5:$A$11,B167),0)</f>
        <v>0</v>
      </c>
      <c r="Z167" s="11">
        <f>Y167*SUMIFS(Категории!$AJ$5:$AJ$11,Категории!$A$5:$A$11,B167)</f>
        <v>0</v>
      </c>
      <c r="AA167" s="11">
        <f t="shared" si="47"/>
        <v>0</v>
      </c>
      <c r="AB167" s="11">
        <f t="shared" si="48"/>
        <v>0</v>
      </c>
      <c r="AC167" s="11">
        <f t="shared" si="49"/>
        <v>0</v>
      </c>
      <c r="AD167" s="12">
        <f t="shared" si="50"/>
        <v>21</v>
      </c>
      <c r="AE167" s="12">
        <f t="shared" si="51"/>
        <v>30</v>
      </c>
      <c r="AF167" s="12">
        <f t="shared" si="52"/>
        <v>12</v>
      </c>
      <c r="AG167" s="12">
        <f t="shared" si="53"/>
        <v>13</v>
      </c>
    </row>
    <row r="168" spans="1:33" x14ac:dyDescent="0.3">
      <c r="A168" s="8" t="s">
        <v>230</v>
      </c>
      <c r="B168" s="8" t="s">
        <v>223</v>
      </c>
      <c r="C168" s="8" t="s">
        <v>61</v>
      </c>
      <c r="D168" s="9">
        <v>415927.03999999998</v>
      </c>
      <c r="E168" s="9">
        <v>20657.55</v>
      </c>
      <c r="F168" s="8">
        <v>1.4</v>
      </c>
      <c r="G168" s="8">
        <v>3</v>
      </c>
      <c r="H168" s="8">
        <v>1</v>
      </c>
      <c r="I168" s="8">
        <v>4</v>
      </c>
      <c r="J168" s="10">
        <f t="shared" si="36"/>
        <v>0.33333333333333331</v>
      </c>
      <c r="K168" s="11">
        <f t="shared" si="37"/>
        <v>1247781.1200000001</v>
      </c>
      <c r="L168" s="11">
        <f t="shared" si="38"/>
        <v>61972.65</v>
      </c>
      <c r="M168" s="11">
        <f t="shared" si="39"/>
        <v>1309753.77</v>
      </c>
      <c r="N168" s="11">
        <f t="shared" si="40"/>
        <v>436584.58999999997</v>
      </c>
      <c r="O168" s="11">
        <f t="shared" si="41"/>
        <v>1514155.4750000001</v>
      </c>
      <c r="P168" s="12">
        <f>IF(AND(C168="F",M168&lt;O168,SUMIFS(Категории!$Z$5:$Z$11,Категории!$A$5:$A$11,B168)=1),1,0)</f>
        <v>0</v>
      </c>
      <c r="Q168" s="11">
        <f t="shared" si="42"/>
        <v>0</v>
      </c>
      <c r="R168" s="10">
        <f>IF(AND(P168=1,SUMIFS(Категории!$AA$5:$AA$11,Категории!$A$5:$A$11,B168)&gt;0),Q168/SUMIFS(Категории!$AA$5:$AA$11,Категории!$A$5:$A$11,B168),0)</f>
        <v>0</v>
      </c>
      <c r="S168" s="11">
        <f>R168*SUMIFS(Категории!$AB$5:$AB$11,Категории!$A$5:$A$11,B168)</f>
        <v>0</v>
      </c>
      <c r="T168" s="11">
        <f t="shared" si="43"/>
        <v>0</v>
      </c>
      <c r="U168" s="11">
        <f t="shared" si="44"/>
        <v>0</v>
      </c>
      <c r="V168" s="11">
        <f t="shared" si="45"/>
        <v>0</v>
      </c>
      <c r="W168" s="12">
        <f>IF(AND(C168="F",M168&lt;O168,SUMIFS(Категории!$AH$5:$AH$11,Категории!$A$5:$A$11,B168)=1),1,0)</f>
        <v>0</v>
      </c>
      <c r="X168" s="11">
        <f t="shared" si="46"/>
        <v>0</v>
      </c>
      <c r="Y168" s="10">
        <f>IF(AND(W168=1,SUMIFS(Категории!$AI$5:$AI$11,Категории!$A$5:$A$11,B168)&gt;0),X168/SUMIFS(Категории!$AI$5:$AI$11,Категории!$A$5:$A$11,B168),0)</f>
        <v>0</v>
      </c>
      <c r="Z168" s="11">
        <f>Y168*SUMIFS(Категории!$AJ$5:$AJ$11,Категории!$A$5:$A$11,B168)</f>
        <v>0</v>
      </c>
      <c r="AA168" s="11">
        <f t="shared" si="47"/>
        <v>0</v>
      </c>
      <c r="AB168" s="11">
        <f t="shared" si="48"/>
        <v>0</v>
      </c>
      <c r="AC168" s="11">
        <f t="shared" si="49"/>
        <v>0</v>
      </c>
      <c r="AD168" s="12">
        <f t="shared" si="50"/>
        <v>7</v>
      </c>
      <c r="AE168" s="12">
        <f t="shared" si="51"/>
        <v>30</v>
      </c>
      <c r="AF168" s="12">
        <f t="shared" si="52"/>
        <v>1</v>
      </c>
      <c r="AG168" s="12">
        <f t="shared" si="53"/>
        <v>17</v>
      </c>
    </row>
    <row r="169" spans="1:33" x14ac:dyDescent="0.3">
      <c r="A169" s="8" t="s">
        <v>231</v>
      </c>
      <c r="B169" s="8" t="s">
        <v>223</v>
      </c>
      <c r="C169" s="8" t="s">
        <v>66</v>
      </c>
      <c r="D169" s="9">
        <v>1282445.1299999999</v>
      </c>
      <c r="E169" s="9">
        <v>59072.79</v>
      </c>
      <c r="F169" s="8">
        <v>6.2</v>
      </c>
      <c r="G169" s="8">
        <v>3</v>
      </c>
      <c r="H169" s="8">
        <v>1</v>
      </c>
      <c r="I169" s="8">
        <v>12</v>
      </c>
      <c r="J169" s="10">
        <f t="shared" si="36"/>
        <v>1</v>
      </c>
      <c r="K169" s="11">
        <f t="shared" si="37"/>
        <v>1282445.1299999999</v>
      </c>
      <c r="L169" s="11">
        <f t="shared" si="38"/>
        <v>59072.79</v>
      </c>
      <c r="M169" s="11">
        <f t="shared" si="39"/>
        <v>1341517.92</v>
      </c>
      <c r="N169" s="11">
        <f t="shared" si="40"/>
        <v>1341517.92</v>
      </c>
      <c r="O169" s="11">
        <f t="shared" si="41"/>
        <v>1514155.4750000001</v>
      </c>
      <c r="P169" s="12">
        <f>IF(AND(C169="F",M169&lt;O169,SUMIFS(Категории!$Z$5:$Z$11,Категории!$A$5:$A$11,B169)=1),1,0)</f>
        <v>1</v>
      </c>
      <c r="Q169" s="11">
        <f t="shared" si="42"/>
        <v>172637.55500000017</v>
      </c>
      <c r="R169" s="10">
        <f>IF(AND(P169=1,SUMIFS(Категории!$AA$5:$AA$11,Категории!$A$5:$A$11,B169)&gt;0),Q169/SUMIFS(Категории!$AA$5:$AA$11,Категории!$A$5:$A$11,B169),0)</f>
        <v>8.6026077384793537E-2</v>
      </c>
      <c r="S169" s="11">
        <f>R169*SUMIFS(Категории!$AB$5:$AB$11,Категории!$A$5:$A$11,B169)</f>
        <v>22820.140167536269</v>
      </c>
      <c r="T169" s="11">
        <f t="shared" si="43"/>
        <v>22820.140167536269</v>
      </c>
      <c r="U169" s="11">
        <f t="shared" si="44"/>
        <v>6846.0420502608804</v>
      </c>
      <c r="V169" s="11">
        <f t="shared" si="45"/>
        <v>29666.182217797148</v>
      </c>
      <c r="W169" s="12">
        <f>IF(AND(C169="F",M169&lt;O169,SUMIFS(Категории!$AH$5:$AH$11,Категории!$A$5:$A$11,B169)=1),1,0)</f>
        <v>1</v>
      </c>
      <c r="X169" s="11">
        <f t="shared" si="46"/>
        <v>172637.55500000017</v>
      </c>
      <c r="Y169" s="10">
        <f>IF(AND(W169=1,SUMIFS(Категории!$AI$5:$AI$11,Категории!$A$5:$A$11,B169)&gt;0),X169/SUMIFS(Категории!$AI$5:$AI$11,Категории!$A$5:$A$11,B169),0)</f>
        <v>8.6026077384793537E-2</v>
      </c>
      <c r="Z169" s="11">
        <f>Y169*SUMIFS(Категории!$AJ$5:$AJ$11,Категории!$A$5:$A$11,B169)</f>
        <v>118036.76502334012</v>
      </c>
      <c r="AA169" s="11">
        <f t="shared" si="47"/>
        <v>118036.76502334012</v>
      </c>
      <c r="AB169" s="11">
        <f t="shared" si="48"/>
        <v>35411.029507002037</v>
      </c>
      <c r="AC169" s="11">
        <f t="shared" si="49"/>
        <v>153447.79453034216</v>
      </c>
      <c r="AD169" s="12">
        <f t="shared" si="50"/>
        <v>8</v>
      </c>
      <c r="AE169" s="12">
        <f t="shared" si="51"/>
        <v>30</v>
      </c>
      <c r="AF169" s="12">
        <f t="shared" si="52"/>
        <v>7</v>
      </c>
      <c r="AG169" s="12">
        <f t="shared" si="53"/>
        <v>13</v>
      </c>
    </row>
    <row r="170" spans="1:33" x14ac:dyDescent="0.3">
      <c r="A170" s="8" t="s">
        <v>232</v>
      </c>
      <c r="B170" s="8" t="s">
        <v>223</v>
      </c>
      <c r="C170" s="8" t="s">
        <v>61</v>
      </c>
      <c r="D170" s="9">
        <v>2037556.59</v>
      </c>
      <c r="E170" s="9">
        <v>98782.23</v>
      </c>
      <c r="F170" s="8">
        <v>14</v>
      </c>
      <c r="G170" s="8">
        <v>6</v>
      </c>
      <c r="H170" s="8">
        <v>1</v>
      </c>
      <c r="I170" s="8">
        <v>12</v>
      </c>
      <c r="J170" s="10">
        <f t="shared" si="36"/>
        <v>1</v>
      </c>
      <c r="K170" s="11">
        <f t="shared" si="37"/>
        <v>2037556.59</v>
      </c>
      <c r="L170" s="11">
        <f t="shared" si="38"/>
        <v>98782.23</v>
      </c>
      <c r="M170" s="11">
        <f t="shared" si="39"/>
        <v>2136338.8200000003</v>
      </c>
      <c r="N170" s="11">
        <f t="shared" si="40"/>
        <v>2136338.8200000003</v>
      </c>
      <c r="O170" s="11">
        <f t="shared" si="41"/>
        <v>1514155.4750000001</v>
      </c>
      <c r="P170" s="12">
        <f>IF(AND(C170="F",M170&lt;O170,SUMIFS(Категории!$Z$5:$Z$11,Категории!$A$5:$A$11,B170)=1),1,0)</f>
        <v>0</v>
      </c>
      <c r="Q170" s="11">
        <f t="shared" si="42"/>
        <v>0</v>
      </c>
      <c r="R170" s="10">
        <f>IF(AND(P170=1,SUMIFS(Категории!$AA$5:$AA$11,Категории!$A$5:$A$11,B170)&gt;0),Q170/SUMIFS(Категории!$AA$5:$AA$11,Категории!$A$5:$A$11,B170),0)</f>
        <v>0</v>
      </c>
      <c r="S170" s="11">
        <f>R170*SUMIFS(Категории!$AB$5:$AB$11,Категории!$A$5:$A$11,B170)</f>
        <v>0</v>
      </c>
      <c r="T170" s="11">
        <f t="shared" si="43"/>
        <v>0</v>
      </c>
      <c r="U170" s="11">
        <f t="shared" si="44"/>
        <v>0</v>
      </c>
      <c r="V170" s="11">
        <f t="shared" si="45"/>
        <v>0</v>
      </c>
      <c r="W170" s="12">
        <f>IF(AND(C170="F",M170&lt;O170,SUMIFS(Категории!$AH$5:$AH$11,Категории!$A$5:$A$11,B170)=1),1,0)</f>
        <v>0</v>
      </c>
      <c r="X170" s="11">
        <f t="shared" si="46"/>
        <v>0</v>
      </c>
      <c r="Y170" s="10">
        <f>IF(AND(W170=1,SUMIFS(Категории!$AI$5:$AI$11,Категории!$A$5:$A$11,B170)&gt;0),X170/SUMIFS(Категории!$AI$5:$AI$11,Категории!$A$5:$A$11,B170),0)</f>
        <v>0</v>
      </c>
      <c r="Z170" s="11">
        <f>Y170*SUMIFS(Категории!$AJ$5:$AJ$11,Категории!$A$5:$A$11,B170)</f>
        <v>0</v>
      </c>
      <c r="AA170" s="11">
        <f t="shared" si="47"/>
        <v>0</v>
      </c>
      <c r="AB170" s="11">
        <f t="shared" si="48"/>
        <v>0</v>
      </c>
      <c r="AC170" s="11">
        <f t="shared" si="49"/>
        <v>0</v>
      </c>
      <c r="AD170" s="12">
        <f t="shared" si="50"/>
        <v>30</v>
      </c>
      <c r="AE170" s="12">
        <f t="shared" si="51"/>
        <v>30</v>
      </c>
      <c r="AF170" s="12">
        <f t="shared" si="52"/>
        <v>17</v>
      </c>
      <c r="AG170" s="12">
        <f t="shared" si="53"/>
        <v>17</v>
      </c>
    </row>
    <row r="171" spans="1:33" x14ac:dyDescent="0.3">
      <c r="A171" s="8" t="s">
        <v>233</v>
      </c>
      <c r="B171" s="8" t="s">
        <v>223</v>
      </c>
      <c r="C171" s="8" t="s">
        <v>61</v>
      </c>
      <c r="D171" s="9">
        <v>1453128.29</v>
      </c>
      <c r="E171" s="9">
        <v>64172.28</v>
      </c>
      <c r="F171" s="8">
        <v>8.9</v>
      </c>
      <c r="G171" s="8">
        <v>5</v>
      </c>
      <c r="H171" s="8">
        <v>1</v>
      </c>
      <c r="I171" s="8">
        <v>10</v>
      </c>
      <c r="J171" s="10">
        <f t="shared" si="36"/>
        <v>0.83333333333333337</v>
      </c>
      <c r="K171" s="11">
        <f t="shared" si="37"/>
        <v>1743753.9479999999</v>
      </c>
      <c r="L171" s="11">
        <f t="shared" si="38"/>
        <v>77006.73599999999</v>
      </c>
      <c r="M171" s="11">
        <f t="shared" si="39"/>
        <v>1820760.6839999999</v>
      </c>
      <c r="N171" s="11">
        <f t="shared" si="40"/>
        <v>1517300.57</v>
      </c>
      <c r="O171" s="11">
        <f t="shared" si="41"/>
        <v>1514155.4750000001</v>
      </c>
      <c r="P171" s="12">
        <f>IF(AND(C171="F",M171&lt;O171,SUMIFS(Категории!$Z$5:$Z$11,Категории!$A$5:$A$11,B171)=1),1,0)</f>
        <v>0</v>
      </c>
      <c r="Q171" s="11">
        <f t="shared" si="42"/>
        <v>0</v>
      </c>
      <c r="R171" s="10">
        <f>IF(AND(P171=1,SUMIFS(Категории!$AA$5:$AA$11,Категории!$A$5:$A$11,B171)&gt;0),Q171/SUMIFS(Категории!$AA$5:$AA$11,Категории!$A$5:$A$11,B171),0)</f>
        <v>0</v>
      </c>
      <c r="S171" s="11">
        <f>R171*SUMIFS(Категории!$AB$5:$AB$11,Категории!$A$5:$A$11,B171)</f>
        <v>0</v>
      </c>
      <c r="T171" s="11">
        <f t="shared" si="43"/>
        <v>0</v>
      </c>
      <c r="U171" s="11">
        <f t="shared" si="44"/>
        <v>0</v>
      </c>
      <c r="V171" s="11">
        <f t="shared" si="45"/>
        <v>0</v>
      </c>
      <c r="W171" s="12">
        <f>IF(AND(C171="F",M171&lt;O171,SUMIFS(Категории!$AH$5:$AH$11,Категории!$A$5:$A$11,B171)=1),1,0)</f>
        <v>0</v>
      </c>
      <c r="X171" s="11">
        <f t="shared" si="46"/>
        <v>0</v>
      </c>
      <c r="Y171" s="10">
        <f>IF(AND(W171=1,SUMIFS(Категории!$AI$5:$AI$11,Категории!$A$5:$A$11,B171)&gt;0),X171/SUMIFS(Категории!$AI$5:$AI$11,Категории!$A$5:$A$11,B171),0)</f>
        <v>0</v>
      </c>
      <c r="Z171" s="11">
        <f>Y171*SUMIFS(Категории!$AJ$5:$AJ$11,Категории!$A$5:$A$11,B171)</f>
        <v>0</v>
      </c>
      <c r="AA171" s="11">
        <f t="shared" si="47"/>
        <v>0</v>
      </c>
      <c r="AB171" s="11">
        <f t="shared" si="48"/>
        <v>0</v>
      </c>
      <c r="AC171" s="11">
        <f t="shared" si="49"/>
        <v>0</v>
      </c>
      <c r="AD171" s="12">
        <f t="shared" si="50"/>
        <v>23</v>
      </c>
      <c r="AE171" s="12">
        <f t="shared" si="51"/>
        <v>30</v>
      </c>
      <c r="AF171" s="12">
        <f t="shared" si="52"/>
        <v>11</v>
      </c>
      <c r="AG171" s="12">
        <f t="shared" si="53"/>
        <v>17</v>
      </c>
    </row>
    <row r="172" spans="1:33" x14ac:dyDescent="0.3">
      <c r="A172" s="8" t="s">
        <v>234</v>
      </c>
      <c r="B172" s="8" t="s">
        <v>223</v>
      </c>
      <c r="C172" s="8" t="s">
        <v>66</v>
      </c>
      <c r="D172" s="9">
        <v>1765741.2</v>
      </c>
      <c r="E172" s="9">
        <v>79401.87</v>
      </c>
      <c r="F172" s="8">
        <v>7.8</v>
      </c>
      <c r="G172" s="8">
        <v>6</v>
      </c>
      <c r="H172" s="8">
        <v>1</v>
      </c>
      <c r="I172" s="8">
        <v>12</v>
      </c>
      <c r="J172" s="10">
        <f t="shared" si="36"/>
        <v>1</v>
      </c>
      <c r="K172" s="11">
        <f t="shared" si="37"/>
        <v>1765741.2</v>
      </c>
      <c r="L172" s="11">
        <f t="shared" si="38"/>
        <v>79401.87</v>
      </c>
      <c r="M172" s="11">
        <f t="shared" si="39"/>
        <v>1845143.0699999998</v>
      </c>
      <c r="N172" s="11">
        <f t="shared" si="40"/>
        <v>1845143.0699999998</v>
      </c>
      <c r="O172" s="11">
        <f t="shared" si="41"/>
        <v>1514155.4750000001</v>
      </c>
      <c r="P172" s="12">
        <f>IF(AND(C172="F",M172&lt;O172,SUMIFS(Категории!$Z$5:$Z$11,Категории!$A$5:$A$11,B172)=1),1,0)</f>
        <v>0</v>
      </c>
      <c r="Q172" s="11">
        <f t="shared" si="42"/>
        <v>0</v>
      </c>
      <c r="R172" s="10">
        <f>IF(AND(P172=1,SUMIFS(Категории!$AA$5:$AA$11,Категории!$A$5:$A$11,B172)&gt;0),Q172/SUMIFS(Категории!$AA$5:$AA$11,Категории!$A$5:$A$11,B172),0)</f>
        <v>0</v>
      </c>
      <c r="S172" s="11">
        <f>R172*SUMIFS(Категории!$AB$5:$AB$11,Категории!$A$5:$A$11,B172)</f>
        <v>0</v>
      </c>
      <c r="T172" s="11">
        <f t="shared" si="43"/>
        <v>0</v>
      </c>
      <c r="U172" s="11">
        <f t="shared" si="44"/>
        <v>0</v>
      </c>
      <c r="V172" s="11">
        <f t="shared" si="45"/>
        <v>0</v>
      </c>
      <c r="W172" s="12">
        <f>IF(AND(C172="F",M172&lt;O172,SUMIFS(Категории!$AH$5:$AH$11,Категории!$A$5:$A$11,B172)=1),1,0)</f>
        <v>0</v>
      </c>
      <c r="X172" s="11">
        <f t="shared" si="46"/>
        <v>0</v>
      </c>
      <c r="Y172" s="10">
        <f>IF(AND(W172=1,SUMIFS(Категории!$AI$5:$AI$11,Категории!$A$5:$A$11,B172)&gt;0),X172/SUMIFS(Категории!$AI$5:$AI$11,Категории!$A$5:$A$11,B172),0)</f>
        <v>0</v>
      </c>
      <c r="Z172" s="11">
        <f>Y172*SUMIFS(Категории!$AJ$5:$AJ$11,Категории!$A$5:$A$11,B172)</f>
        <v>0</v>
      </c>
      <c r="AA172" s="11">
        <f t="shared" si="47"/>
        <v>0</v>
      </c>
      <c r="AB172" s="11">
        <f t="shared" si="48"/>
        <v>0</v>
      </c>
      <c r="AC172" s="11">
        <f t="shared" si="49"/>
        <v>0</v>
      </c>
      <c r="AD172" s="12">
        <f t="shared" si="50"/>
        <v>25</v>
      </c>
      <c r="AE172" s="12">
        <f t="shared" si="51"/>
        <v>30</v>
      </c>
      <c r="AF172" s="12">
        <f t="shared" si="52"/>
        <v>13</v>
      </c>
      <c r="AG172" s="12">
        <f t="shared" si="53"/>
        <v>13</v>
      </c>
    </row>
    <row r="173" spans="1:33" x14ac:dyDescent="0.3">
      <c r="A173" s="8" t="s">
        <v>235</v>
      </c>
      <c r="B173" s="8" t="s">
        <v>223</v>
      </c>
      <c r="C173" s="8" t="s">
        <v>66</v>
      </c>
      <c r="D173" s="9">
        <v>1239843.1000000001</v>
      </c>
      <c r="E173" s="9">
        <v>53568.89</v>
      </c>
      <c r="F173" s="8">
        <v>5.3</v>
      </c>
      <c r="G173" s="8">
        <v>4</v>
      </c>
      <c r="H173" s="8">
        <v>1</v>
      </c>
      <c r="I173" s="8">
        <v>12</v>
      </c>
      <c r="J173" s="10">
        <f t="shared" si="36"/>
        <v>1</v>
      </c>
      <c r="K173" s="11">
        <f t="shared" si="37"/>
        <v>1239843.1000000001</v>
      </c>
      <c r="L173" s="11">
        <f t="shared" si="38"/>
        <v>53568.89</v>
      </c>
      <c r="M173" s="11">
        <f t="shared" si="39"/>
        <v>1293411.99</v>
      </c>
      <c r="N173" s="11">
        <f t="shared" si="40"/>
        <v>1293411.99</v>
      </c>
      <c r="O173" s="11">
        <f t="shared" si="41"/>
        <v>1514155.4750000001</v>
      </c>
      <c r="P173" s="12">
        <f>IF(AND(C173="F",M173&lt;O173,SUMIFS(Категории!$Z$5:$Z$11,Категории!$A$5:$A$11,B173)=1),1,0)</f>
        <v>1</v>
      </c>
      <c r="Q173" s="11">
        <f t="shared" si="42"/>
        <v>220743.4850000001</v>
      </c>
      <c r="R173" s="10">
        <f>IF(AND(P173=1,SUMIFS(Категории!$AA$5:$AA$11,Категории!$A$5:$A$11,B173)&gt;0),Q173/SUMIFS(Категории!$AA$5:$AA$11,Категории!$A$5:$A$11,B173),0)</f>
        <v>0.1099974806918402</v>
      </c>
      <c r="S173" s="11">
        <f>R173*SUMIFS(Категории!$AB$5:$AB$11,Категории!$A$5:$A$11,B173)</f>
        <v>29179.035052775376</v>
      </c>
      <c r="T173" s="11">
        <f t="shared" si="43"/>
        <v>29179.035052775376</v>
      </c>
      <c r="U173" s="11">
        <f t="shared" si="44"/>
        <v>8753.7105158326121</v>
      </c>
      <c r="V173" s="11">
        <f t="shared" si="45"/>
        <v>37932.745568607992</v>
      </c>
      <c r="W173" s="12">
        <f>IF(AND(C173="F",M173&lt;O173,SUMIFS(Категории!$AH$5:$AH$11,Категории!$A$5:$A$11,B173)=1),1,0)</f>
        <v>1</v>
      </c>
      <c r="X173" s="11">
        <f t="shared" si="46"/>
        <v>220743.4850000001</v>
      </c>
      <c r="Y173" s="10">
        <f>IF(AND(W173=1,SUMIFS(Категории!$AI$5:$AI$11,Категории!$A$5:$A$11,B173)&gt;0),X173/SUMIFS(Категории!$AI$5:$AI$11,Категории!$A$5:$A$11,B173),0)</f>
        <v>0.1099974806918402</v>
      </c>
      <c r="Z173" s="11">
        <f>Y173*SUMIFS(Категории!$AJ$5:$AJ$11,Категории!$A$5:$A$11,B173)</f>
        <v>150928.03457149398</v>
      </c>
      <c r="AA173" s="11">
        <f t="shared" si="47"/>
        <v>150928.03457149398</v>
      </c>
      <c r="AB173" s="11">
        <f t="shared" si="48"/>
        <v>45278.41037144819</v>
      </c>
      <c r="AC173" s="11">
        <f t="shared" si="49"/>
        <v>196206.44494294218</v>
      </c>
      <c r="AD173" s="12">
        <f t="shared" si="50"/>
        <v>6</v>
      </c>
      <c r="AE173" s="12">
        <f t="shared" si="51"/>
        <v>30</v>
      </c>
      <c r="AF173" s="12">
        <f t="shared" si="52"/>
        <v>6</v>
      </c>
      <c r="AG173" s="12">
        <f t="shared" si="53"/>
        <v>13</v>
      </c>
    </row>
    <row r="174" spans="1:33" x14ac:dyDescent="0.3">
      <c r="A174" s="8" t="s">
        <v>236</v>
      </c>
      <c r="B174" s="8" t="s">
        <v>223</v>
      </c>
      <c r="C174" s="8" t="s">
        <v>66</v>
      </c>
      <c r="D174" s="9">
        <v>679277.84</v>
      </c>
      <c r="E174" s="9">
        <v>28282.46</v>
      </c>
      <c r="F174" s="8">
        <v>3</v>
      </c>
      <c r="G174" s="8">
        <v>4</v>
      </c>
      <c r="H174" s="8">
        <v>0.5</v>
      </c>
      <c r="I174" s="8">
        <v>12</v>
      </c>
      <c r="J174" s="10">
        <f t="shared" si="36"/>
        <v>0.5</v>
      </c>
      <c r="K174" s="11">
        <f t="shared" si="37"/>
        <v>1358555.68</v>
      </c>
      <c r="L174" s="11">
        <f t="shared" si="38"/>
        <v>56564.92</v>
      </c>
      <c r="M174" s="11">
        <f t="shared" si="39"/>
        <v>1415120.5999999999</v>
      </c>
      <c r="N174" s="11">
        <f t="shared" si="40"/>
        <v>707560.29999999993</v>
      </c>
      <c r="O174" s="11">
        <f t="shared" si="41"/>
        <v>1514155.4750000001</v>
      </c>
      <c r="P174" s="12">
        <f>IF(AND(C174="F",M174&lt;O174,SUMIFS(Категории!$Z$5:$Z$11,Категории!$A$5:$A$11,B174)=1),1,0)</f>
        <v>1</v>
      </c>
      <c r="Q174" s="11">
        <f t="shared" si="42"/>
        <v>99034.875000000233</v>
      </c>
      <c r="R174" s="10">
        <f>IF(AND(P174=1,SUMIFS(Категории!$AA$5:$AA$11,Категории!$A$5:$A$11,B174)&gt;0),Q174/SUMIFS(Категории!$AA$5:$AA$11,Категории!$A$5:$A$11,B174),0)</f>
        <v>4.934952780432604E-2</v>
      </c>
      <c r="S174" s="11">
        <f>R174*SUMIFS(Категории!$AB$5:$AB$11,Категории!$A$5:$A$11,B174)</f>
        <v>13090.950743448819</v>
      </c>
      <c r="T174" s="11">
        <f t="shared" si="43"/>
        <v>6545.4753717244093</v>
      </c>
      <c r="U174" s="11">
        <f t="shared" si="44"/>
        <v>1963.6426115173226</v>
      </c>
      <c r="V174" s="11">
        <f t="shared" si="45"/>
        <v>8509.1179832417329</v>
      </c>
      <c r="W174" s="12">
        <f>IF(AND(C174="F",M174&lt;O174,SUMIFS(Категории!$AH$5:$AH$11,Категории!$A$5:$A$11,B174)=1),1,0)</f>
        <v>1</v>
      </c>
      <c r="X174" s="11">
        <f t="shared" si="46"/>
        <v>99034.875000000233</v>
      </c>
      <c r="Y174" s="10">
        <f>IF(AND(W174=1,SUMIFS(Категории!$AI$5:$AI$11,Категории!$A$5:$A$11,B174)&gt;0),X174/SUMIFS(Категории!$AI$5:$AI$11,Категории!$A$5:$A$11,B174),0)</f>
        <v>4.934952780432604E-2</v>
      </c>
      <c r="Z174" s="11">
        <f>Y174*SUMIFS(Категории!$AJ$5:$AJ$11,Категории!$A$5:$A$11,B174)</f>
        <v>67712.707524680111</v>
      </c>
      <c r="AA174" s="11">
        <f t="shared" si="47"/>
        <v>33856.353762340055</v>
      </c>
      <c r="AB174" s="11">
        <f t="shared" si="48"/>
        <v>10156.906128702016</v>
      </c>
      <c r="AC174" s="11">
        <f t="shared" si="49"/>
        <v>44013.259891042071</v>
      </c>
      <c r="AD174" s="12">
        <f t="shared" si="50"/>
        <v>11</v>
      </c>
      <c r="AE174" s="12">
        <f t="shared" si="51"/>
        <v>30</v>
      </c>
      <c r="AF174" s="12">
        <f t="shared" si="52"/>
        <v>9</v>
      </c>
      <c r="AG174" s="12">
        <f t="shared" si="53"/>
        <v>13</v>
      </c>
    </row>
    <row r="175" spans="1:33" x14ac:dyDescent="0.3">
      <c r="A175" s="8" t="s">
        <v>237</v>
      </c>
      <c r="B175" s="8" t="s">
        <v>223</v>
      </c>
      <c r="C175" s="8" t="s">
        <v>66</v>
      </c>
      <c r="D175" s="9">
        <v>953981.34</v>
      </c>
      <c r="E175" s="9">
        <v>42377.38</v>
      </c>
      <c r="F175" s="8">
        <v>5.4</v>
      </c>
      <c r="G175" s="8">
        <v>5</v>
      </c>
      <c r="H175" s="8">
        <v>0.6</v>
      </c>
      <c r="I175" s="8">
        <v>12</v>
      </c>
      <c r="J175" s="10">
        <f t="shared" si="36"/>
        <v>0.6</v>
      </c>
      <c r="K175" s="11">
        <f t="shared" si="37"/>
        <v>1589968.9</v>
      </c>
      <c r="L175" s="11">
        <f t="shared" si="38"/>
        <v>70628.96666666666</v>
      </c>
      <c r="M175" s="11">
        <f t="shared" si="39"/>
        <v>1660597.8666666665</v>
      </c>
      <c r="N175" s="11">
        <f t="shared" si="40"/>
        <v>996358.72</v>
      </c>
      <c r="O175" s="11">
        <f t="shared" si="41"/>
        <v>1514155.4750000001</v>
      </c>
      <c r="P175" s="12">
        <f>IF(AND(C175="F",M175&lt;O175,SUMIFS(Категории!$Z$5:$Z$11,Категории!$A$5:$A$11,B175)=1),1,0)</f>
        <v>0</v>
      </c>
      <c r="Q175" s="11">
        <f t="shared" si="42"/>
        <v>0</v>
      </c>
      <c r="R175" s="10">
        <f>IF(AND(P175=1,SUMIFS(Категории!$AA$5:$AA$11,Категории!$A$5:$A$11,B175)&gt;0),Q175/SUMIFS(Категории!$AA$5:$AA$11,Категории!$A$5:$A$11,B175),0)</f>
        <v>0</v>
      </c>
      <c r="S175" s="11">
        <f>R175*SUMIFS(Категории!$AB$5:$AB$11,Категории!$A$5:$A$11,B175)</f>
        <v>0</v>
      </c>
      <c r="T175" s="11">
        <f t="shared" si="43"/>
        <v>0</v>
      </c>
      <c r="U175" s="11">
        <f t="shared" si="44"/>
        <v>0</v>
      </c>
      <c r="V175" s="11">
        <f t="shared" si="45"/>
        <v>0</v>
      </c>
      <c r="W175" s="12">
        <f>IF(AND(C175="F",M175&lt;O175,SUMIFS(Категории!$AH$5:$AH$11,Категории!$A$5:$A$11,B175)=1),1,0)</f>
        <v>0</v>
      </c>
      <c r="X175" s="11">
        <f t="shared" si="46"/>
        <v>0</v>
      </c>
      <c r="Y175" s="10">
        <f>IF(AND(W175=1,SUMIFS(Категории!$AI$5:$AI$11,Категории!$A$5:$A$11,B175)&gt;0),X175/SUMIFS(Категории!$AI$5:$AI$11,Категории!$A$5:$A$11,B175),0)</f>
        <v>0</v>
      </c>
      <c r="Z175" s="11">
        <f>Y175*SUMIFS(Категории!$AJ$5:$AJ$11,Категории!$A$5:$A$11,B175)</f>
        <v>0</v>
      </c>
      <c r="AA175" s="11">
        <f t="shared" si="47"/>
        <v>0</v>
      </c>
      <c r="AB175" s="11">
        <f t="shared" si="48"/>
        <v>0</v>
      </c>
      <c r="AC175" s="11">
        <f t="shared" si="49"/>
        <v>0</v>
      </c>
      <c r="AD175" s="12">
        <f t="shared" si="50"/>
        <v>20</v>
      </c>
      <c r="AE175" s="12">
        <f t="shared" si="51"/>
        <v>30</v>
      </c>
      <c r="AF175" s="12">
        <f t="shared" si="52"/>
        <v>11</v>
      </c>
      <c r="AG175" s="12">
        <f t="shared" si="53"/>
        <v>13</v>
      </c>
    </row>
    <row r="176" spans="1:33" x14ac:dyDescent="0.3">
      <c r="A176" s="8" t="s">
        <v>238</v>
      </c>
      <c r="B176" s="8" t="s">
        <v>223</v>
      </c>
      <c r="C176" s="8" t="s">
        <v>61</v>
      </c>
      <c r="D176" s="9">
        <v>1774004.67</v>
      </c>
      <c r="E176" s="9">
        <v>108173.17</v>
      </c>
      <c r="F176" s="8">
        <v>6.9</v>
      </c>
      <c r="G176" s="8">
        <v>5</v>
      </c>
      <c r="H176" s="8">
        <v>1</v>
      </c>
      <c r="I176" s="8">
        <v>12</v>
      </c>
      <c r="J176" s="10">
        <f t="shared" si="36"/>
        <v>1</v>
      </c>
      <c r="K176" s="11">
        <f t="shared" si="37"/>
        <v>1774004.67</v>
      </c>
      <c r="L176" s="11">
        <f t="shared" si="38"/>
        <v>108173.17</v>
      </c>
      <c r="M176" s="11">
        <f t="shared" si="39"/>
        <v>1882177.8399999999</v>
      </c>
      <c r="N176" s="11">
        <f t="shared" si="40"/>
        <v>1882177.8399999999</v>
      </c>
      <c r="O176" s="11">
        <f t="shared" si="41"/>
        <v>1514155.4750000001</v>
      </c>
      <c r="P176" s="12">
        <f>IF(AND(C176="F",M176&lt;O176,SUMIFS(Категории!$Z$5:$Z$11,Категории!$A$5:$A$11,B176)=1),1,0)</f>
        <v>0</v>
      </c>
      <c r="Q176" s="11">
        <f t="shared" si="42"/>
        <v>0</v>
      </c>
      <c r="R176" s="10">
        <f>IF(AND(P176=1,SUMIFS(Категории!$AA$5:$AA$11,Категории!$A$5:$A$11,B176)&gt;0),Q176/SUMIFS(Категории!$AA$5:$AA$11,Категории!$A$5:$A$11,B176),0)</f>
        <v>0</v>
      </c>
      <c r="S176" s="11">
        <f>R176*SUMIFS(Категории!$AB$5:$AB$11,Категории!$A$5:$A$11,B176)</f>
        <v>0</v>
      </c>
      <c r="T176" s="11">
        <f t="shared" si="43"/>
        <v>0</v>
      </c>
      <c r="U176" s="11">
        <f t="shared" si="44"/>
        <v>0</v>
      </c>
      <c r="V176" s="11">
        <f t="shared" si="45"/>
        <v>0</v>
      </c>
      <c r="W176" s="12">
        <f>IF(AND(C176="F",M176&lt;O176,SUMIFS(Категории!$AH$5:$AH$11,Категории!$A$5:$A$11,B176)=1),1,0)</f>
        <v>0</v>
      </c>
      <c r="X176" s="11">
        <f t="shared" si="46"/>
        <v>0</v>
      </c>
      <c r="Y176" s="10">
        <f>IF(AND(W176=1,SUMIFS(Категории!$AI$5:$AI$11,Категории!$A$5:$A$11,B176)&gt;0),X176/SUMIFS(Категории!$AI$5:$AI$11,Категории!$A$5:$A$11,B176),0)</f>
        <v>0</v>
      </c>
      <c r="Z176" s="11">
        <f>Y176*SUMIFS(Категории!$AJ$5:$AJ$11,Категории!$A$5:$A$11,B176)</f>
        <v>0</v>
      </c>
      <c r="AA176" s="11">
        <f t="shared" si="47"/>
        <v>0</v>
      </c>
      <c r="AB176" s="11">
        <f t="shared" si="48"/>
        <v>0</v>
      </c>
      <c r="AC176" s="11">
        <f t="shared" si="49"/>
        <v>0</v>
      </c>
      <c r="AD176" s="12">
        <f t="shared" si="50"/>
        <v>26</v>
      </c>
      <c r="AE176" s="12">
        <f t="shared" si="51"/>
        <v>30</v>
      </c>
      <c r="AF176" s="12">
        <f t="shared" si="52"/>
        <v>13</v>
      </c>
      <c r="AG176" s="12">
        <f t="shared" si="53"/>
        <v>17</v>
      </c>
    </row>
    <row r="177" spans="1:33" x14ac:dyDescent="0.3">
      <c r="A177" s="8" t="s">
        <v>239</v>
      </c>
      <c r="B177" s="8" t="s">
        <v>223</v>
      </c>
      <c r="C177" s="8" t="s">
        <v>66</v>
      </c>
      <c r="D177" s="9">
        <v>1214887.74</v>
      </c>
      <c r="E177" s="9">
        <v>56438.080000000002</v>
      </c>
      <c r="F177" s="8">
        <v>3.5</v>
      </c>
      <c r="G177" s="8">
        <v>3</v>
      </c>
      <c r="H177" s="8">
        <v>1</v>
      </c>
      <c r="I177" s="8">
        <v>12</v>
      </c>
      <c r="J177" s="10">
        <f t="shared" si="36"/>
        <v>1</v>
      </c>
      <c r="K177" s="11">
        <f t="shared" si="37"/>
        <v>1214887.74</v>
      </c>
      <c r="L177" s="11">
        <f t="shared" si="38"/>
        <v>56438.080000000002</v>
      </c>
      <c r="M177" s="11">
        <f t="shared" si="39"/>
        <v>1271325.82</v>
      </c>
      <c r="N177" s="11">
        <f t="shared" si="40"/>
        <v>1271325.82</v>
      </c>
      <c r="O177" s="11">
        <f t="shared" si="41"/>
        <v>1514155.4750000001</v>
      </c>
      <c r="P177" s="12">
        <f>IF(AND(C177="F",M177&lt;O177,SUMIFS(Категории!$Z$5:$Z$11,Категории!$A$5:$A$11,B177)=1),1,0)</f>
        <v>1</v>
      </c>
      <c r="Q177" s="11">
        <f t="shared" si="42"/>
        <v>242829.65500000003</v>
      </c>
      <c r="R177" s="10">
        <f>IF(AND(P177=1,SUMIFS(Категории!$AA$5:$AA$11,Категории!$A$5:$A$11,B177)&gt;0),Q177/SUMIFS(Категории!$AA$5:$AA$11,Категории!$A$5:$A$11,B177),0)</f>
        <v>0.12100311946814063</v>
      </c>
      <c r="S177" s="11">
        <f>R177*SUMIFS(Категории!$AB$5:$AB$11,Категории!$A$5:$A$11,B177)</f>
        <v>32098.501186109064</v>
      </c>
      <c r="T177" s="11">
        <f t="shared" si="43"/>
        <v>32098.501186109064</v>
      </c>
      <c r="U177" s="11">
        <f t="shared" si="44"/>
        <v>9629.5503558327182</v>
      </c>
      <c r="V177" s="11">
        <f t="shared" si="45"/>
        <v>41728.051541941779</v>
      </c>
      <c r="W177" s="12">
        <f>IF(AND(C177="F",M177&lt;O177,SUMIFS(Категории!$AH$5:$AH$11,Категории!$A$5:$A$11,B177)=1),1,0)</f>
        <v>1</v>
      </c>
      <c r="X177" s="11">
        <f t="shared" si="46"/>
        <v>242829.65500000003</v>
      </c>
      <c r="Y177" s="10">
        <f>IF(AND(W177=1,SUMIFS(Категории!$AI$5:$AI$11,Категории!$A$5:$A$11,B177)&gt;0),X177/SUMIFS(Категории!$AI$5:$AI$11,Категории!$A$5:$A$11,B177),0)</f>
        <v>0.12100311946814063</v>
      </c>
      <c r="Z177" s="11">
        <f>Y177*SUMIFS(Категории!$AJ$5:$AJ$11,Категории!$A$5:$A$11,B177)</f>
        <v>166028.9206941892</v>
      </c>
      <c r="AA177" s="11">
        <f t="shared" si="47"/>
        <v>166028.9206941892</v>
      </c>
      <c r="AB177" s="11">
        <f t="shared" si="48"/>
        <v>49808.676208256758</v>
      </c>
      <c r="AC177" s="11">
        <f t="shared" si="49"/>
        <v>215837.59690244595</v>
      </c>
      <c r="AD177" s="12">
        <f t="shared" si="50"/>
        <v>4</v>
      </c>
      <c r="AE177" s="12">
        <f t="shared" si="51"/>
        <v>30</v>
      </c>
      <c r="AF177" s="12">
        <f t="shared" si="52"/>
        <v>4</v>
      </c>
      <c r="AG177" s="12">
        <f t="shared" si="53"/>
        <v>13</v>
      </c>
    </row>
    <row r="178" spans="1:33" x14ac:dyDescent="0.3">
      <c r="A178" s="8" t="s">
        <v>240</v>
      </c>
      <c r="B178" s="8" t="s">
        <v>223</v>
      </c>
      <c r="C178" s="8" t="s">
        <v>66</v>
      </c>
      <c r="D178" s="9">
        <v>1200383.1200000001</v>
      </c>
      <c r="E178" s="9">
        <v>71478.62</v>
      </c>
      <c r="F178" s="8">
        <v>6.2</v>
      </c>
      <c r="G178" s="8">
        <v>3</v>
      </c>
      <c r="H178" s="8">
        <v>1</v>
      </c>
      <c r="I178" s="8">
        <v>12</v>
      </c>
      <c r="J178" s="10">
        <f t="shared" si="36"/>
        <v>1</v>
      </c>
      <c r="K178" s="11">
        <f t="shared" si="37"/>
        <v>1200383.1200000001</v>
      </c>
      <c r="L178" s="11">
        <f t="shared" si="38"/>
        <v>71478.62</v>
      </c>
      <c r="M178" s="11">
        <f t="shared" si="39"/>
        <v>1271861.7400000002</v>
      </c>
      <c r="N178" s="11">
        <f t="shared" si="40"/>
        <v>1271861.7400000002</v>
      </c>
      <c r="O178" s="11">
        <f t="shared" si="41"/>
        <v>1514155.4750000001</v>
      </c>
      <c r="P178" s="12">
        <f>IF(AND(C178="F",M178&lt;O178,SUMIFS(Категории!$Z$5:$Z$11,Категории!$A$5:$A$11,B178)=1),1,0)</f>
        <v>1</v>
      </c>
      <c r="Q178" s="11">
        <f t="shared" si="42"/>
        <v>242293.73499999987</v>
      </c>
      <c r="R178" s="10">
        <f>IF(AND(P178=1,SUMIFS(Категории!$AA$5:$AA$11,Категории!$A$5:$A$11,B178)&gt;0),Q178/SUMIFS(Категории!$AA$5:$AA$11,Категории!$A$5:$A$11,B178),0)</f>
        <v>0.12073606809920719</v>
      </c>
      <c r="S178" s="11">
        <f>R178*SUMIFS(Категории!$AB$5:$AB$11,Категории!$A$5:$A$11,B178)</f>
        <v>32027.660461339823</v>
      </c>
      <c r="T178" s="11">
        <f t="shared" si="43"/>
        <v>32027.660461339823</v>
      </c>
      <c r="U178" s="11">
        <f t="shared" si="44"/>
        <v>9608.2981384019458</v>
      </c>
      <c r="V178" s="11">
        <f t="shared" si="45"/>
        <v>41635.958599741767</v>
      </c>
      <c r="W178" s="12">
        <f>IF(AND(C178="F",M178&lt;O178,SUMIFS(Категории!$AH$5:$AH$11,Категории!$A$5:$A$11,B178)=1),1,0)</f>
        <v>1</v>
      </c>
      <c r="X178" s="11">
        <f t="shared" si="46"/>
        <v>242293.73499999987</v>
      </c>
      <c r="Y178" s="10">
        <f>IF(AND(W178=1,SUMIFS(Категории!$AI$5:$AI$11,Категории!$A$5:$A$11,B178)&gt;0),X178/SUMIFS(Категории!$AI$5:$AI$11,Категории!$A$5:$A$11,B178),0)</f>
        <v>0.12073606809920719</v>
      </c>
      <c r="Z178" s="11">
        <f>Y178*SUMIFS(Категории!$AJ$5:$AJ$11,Категории!$A$5:$A$11,B178)</f>
        <v>165662.49831806525</v>
      </c>
      <c r="AA178" s="11">
        <f t="shared" si="47"/>
        <v>165662.49831806525</v>
      </c>
      <c r="AB178" s="11">
        <f t="shared" si="48"/>
        <v>49698.749495419572</v>
      </c>
      <c r="AC178" s="11">
        <f t="shared" si="49"/>
        <v>215361.24781348481</v>
      </c>
      <c r="AD178" s="12">
        <f t="shared" si="50"/>
        <v>5</v>
      </c>
      <c r="AE178" s="12">
        <f t="shared" si="51"/>
        <v>30</v>
      </c>
      <c r="AF178" s="12">
        <f t="shared" si="52"/>
        <v>5</v>
      </c>
      <c r="AG178" s="12">
        <f t="shared" si="53"/>
        <v>13</v>
      </c>
    </row>
    <row r="179" spans="1:33" x14ac:dyDescent="0.3">
      <c r="A179" s="8" t="s">
        <v>241</v>
      </c>
      <c r="B179" s="8" t="s">
        <v>223</v>
      </c>
      <c r="C179" s="8" t="s">
        <v>66</v>
      </c>
      <c r="D179" s="9">
        <v>1166156.6599999999</v>
      </c>
      <c r="E179" s="9">
        <v>69473.25</v>
      </c>
      <c r="F179" s="8">
        <v>1.5</v>
      </c>
      <c r="G179" s="8">
        <v>3</v>
      </c>
      <c r="H179" s="8">
        <v>1</v>
      </c>
      <c r="I179" s="8">
        <v>12</v>
      </c>
      <c r="J179" s="10">
        <f t="shared" si="36"/>
        <v>1</v>
      </c>
      <c r="K179" s="11">
        <f t="shared" si="37"/>
        <v>1166156.6599999999</v>
      </c>
      <c r="L179" s="11">
        <f t="shared" si="38"/>
        <v>69473.25</v>
      </c>
      <c r="M179" s="11">
        <f t="shared" si="39"/>
        <v>1235629.9099999999</v>
      </c>
      <c r="N179" s="11">
        <f t="shared" si="40"/>
        <v>1235629.9099999999</v>
      </c>
      <c r="O179" s="11">
        <f t="shared" si="41"/>
        <v>1514155.4750000001</v>
      </c>
      <c r="P179" s="12">
        <f>IF(AND(C179="F",M179&lt;O179,SUMIFS(Категории!$Z$5:$Z$11,Категории!$A$5:$A$11,B179)=1),1,0)</f>
        <v>1</v>
      </c>
      <c r="Q179" s="11">
        <f t="shared" si="42"/>
        <v>278525.56500000018</v>
      </c>
      <c r="R179" s="10">
        <f>IF(AND(P179=1,SUMIFS(Категории!$AA$5:$AA$11,Категории!$A$5:$A$11,B179)&gt;0),Q179/SUMIFS(Категории!$AA$5:$AA$11,Категории!$A$5:$A$11,B179),0)</f>
        <v>0.13879055347101812</v>
      </c>
      <c r="S179" s="11">
        <f>R179*SUMIFS(Категории!$AB$5:$AB$11,Категории!$A$5:$A$11,B179)</f>
        <v>36816.974345716553</v>
      </c>
      <c r="T179" s="11">
        <f t="shared" si="43"/>
        <v>36816.974345716553</v>
      </c>
      <c r="U179" s="11">
        <f t="shared" si="44"/>
        <v>11045.092303714966</v>
      </c>
      <c r="V179" s="11">
        <f t="shared" si="45"/>
        <v>47862.066649431523</v>
      </c>
      <c r="W179" s="12">
        <f>IF(AND(C179="F",M179&lt;O179,SUMIFS(Категории!$AH$5:$AH$11,Категории!$A$5:$A$11,B179)=1),1,0)</f>
        <v>1</v>
      </c>
      <c r="X179" s="11">
        <f t="shared" si="46"/>
        <v>278525.56500000018</v>
      </c>
      <c r="Y179" s="10">
        <f>IF(AND(W179=1,SUMIFS(Категории!$AI$5:$AI$11,Категории!$A$5:$A$11,B179)&gt;0),X179/SUMIFS(Категории!$AI$5:$AI$11,Категории!$A$5:$A$11,B179),0)</f>
        <v>0.13879055347101812</v>
      </c>
      <c r="Z179" s="11">
        <f>Y179*SUMIFS(Категории!$AJ$5:$AJ$11,Категории!$A$5:$A$11,B179)</f>
        <v>190435.13833880486</v>
      </c>
      <c r="AA179" s="11">
        <f t="shared" si="47"/>
        <v>190435.13833880486</v>
      </c>
      <c r="AB179" s="11">
        <f t="shared" si="48"/>
        <v>57130.541501641455</v>
      </c>
      <c r="AC179" s="11">
        <f t="shared" si="49"/>
        <v>247565.6798404463</v>
      </c>
      <c r="AD179" s="12">
        <f t="shared" si="50"/>
        <v>2</v>
      </c>
      <c r="AE179" s="12">
        <f t="shared" si="51"/>
        <v>30</v>
      </c>
      <c r="AF179" s="12">
        <f t="shared" si="52"/>
        <v>2</v>
      </c>
      <c r="AG179" s="12">
        <f t="shared" si="53"/>
        <v>13</v>
      </c>
    </row>
    <row r="180" spans="1:33" x14ac:dyDescent="0.3">
      <c r="A180" s="8" t="s">
        <v>242</v>
      </c>
      <c r="B180" s="8" t="s">
        <v>223</v>
      </c>
      <c r="C180" s="8" t="s">
        <v>66</v>
      </c>
      <c r="D180" s="9">
        <v>954410.28</v>
      </c>
      <c r="E180" s="9">
        <v>52171.77</v>
      </c>
      <c r="F180" s="8">
        <v>5.7</v>
      </c>
      <c r="G180" s="8">
        <v>3</v>
      </c>
      <c r="H180" s="8">
        <v>1</v>
      </c>
      <c r="I180" s="8">
        <v>9</v>
      </c>
      <c r="J180" s="10">
        <f t="shared" si="36"/>
        <v>0.75</v>
      </c>
      <c r="K180" s="11">
        <f t="shared" si="37"/>
        <v>1272547.04</v>
      </c>
      <c r="L180" s="11">
        <f t="shared" si="38"/>
        <v>69562.36</v>
      </c>
      <c r="M180" s="11">
        <f t="shared" si="39"/>
        <v>1342109.4000000001</v>
      </c>
      <c r="N180" s="11">
        <f t="shared" si="40"/>
        <v>1006582.05</v>
      </c>
      <c r="O180" s="11">
        <f t="shared" si="41"/>
        <v>1514155.4750000001</v>
      </c>
      <c r="P180" s="12">
        <f>IF(AND(C180="F",M180&lt;O180,SUMIFS(Категории!$Z$5:$Z$11,Категории!$A$5:$A$11,B180)=1),1,0)</f>
        <v>1</v>
      </c>
      <c r="Q180" s="11">
        <f t="shared" si="42"/>
        <v>172046.07499999995</v>
      </c>
      <c r="R180" s="10">
        <f>IF(AND(P180=1,SUMIFS(Категории!$AA$5:$AA$11,Категории!$A$5:$A$11,B180)&gt;0),Q180/SUMIFS(Категории!$AA$5:$AA$11,Категории!$A$5:$A$11,B180),0)</f>
        <v>8.5731340215632543E-2</v>
      </c>
      <c r="S180" s="11">
        <f>R180*SUMIFS(Категории!$AB$5:$AB$11,Категории!$A$5:$A$11,B180)</f>
        <v>22741.955229697574</v>
      </c>
      <c r="T180" s="11">
        <f t="shared" si="43"/>
        <v>17056.466422273181</v>
      </c>
      <c r="U180" s="11">
        <f t="shared" si="44"/>
        <v>5116.9399266819537</v>
      </c>
      <c r="V180" s="11">
        <f t="shared" si="45"/>
        <v>22173.406348955134</v>
      </c>
      <c r="W180" s="12">
        <f>IF(AND(C180="F",M180&lt;O180,SUMIFS(Категории!$AH$5:$AH$11,Категории!$A$5:$A$11,B180)=1),1,0)</f>
        <v>1</v>
      </c>
      <c r="X180" s="11">
        <f t="shared" si="46"/>
        <v>172046.07499999995</v>
      </c>
      <c r="Y180" s="10">
        <f>IF(AND(W180=1,SUMIFS(Категории!$AI$5:$AI$11,Категории!$A$5:$A$11,B180)&gt;0),X180/SUMIFS(Категории!$AI$5:$AI$11,Категории!$A$5:$A$11,B180),0)</f>
        <v>8.5731340215632543E-2</v>
      </c>
      <c r="Z180" s="11">
        <f>Y180*SUMIFS(Категории!$AJ$5:$AJ$11,Категории!$A$5:$A$11,B180)</f>
        <v>117632.3548370627</v>
      </c>
      <c r="AA180" s="11">
        <f t="shared" si="47"/>
        <v>88224.266127797018</v>
      </c>
      <c r="AB180" s="11">
        <f t="shared" si="48"/>
        <v>26467.279838339105</v>
      </c>
      <c r="AC180" s="11">
        <f t="shared" si="49"/>
        <v>114691.54596613612</v>
      </c>
      <c r="AD180" s="12">
        <f t="shared" si="50"/>
        <v>9</v>
      </c>
      <c r="AE180" s="12">
        <f t="shared" si="51"/>
        <v>30</v>
      </c>
      <c r="AF180" s="12">
        <f t="shared" si="52"/>
        <v>8</v>
      </c>
      <c r="AG180" s="12">
        <f t="shared" si="53"/>
        <v>13</v>
      </c>
    </row>
    <row r="181" spans="1:33" x14ac:dyDescent="0.3">
      <c r="A181" s="8" t="s">
        <v>243</v>
      </c>
      <c r="B181" s="8" t="s">
        <v>223</v>
      </c>
      <c r="C181" s="8" t="s">
        <v>61</v>
      </c>
      <c r="D181" s="9">
        <v>1845807.18</v>
      </c>
      <c r="E181" s="9">
        <v>97982.05</v>
      </c>
      <c r="F181" s="8">
        <v>9.9</v>
      </c>
      <c r="G181" s="8">
        <v>6</v>
      </c>
      <c r="H181" s="8">
        <v>1</v>
      </c>
      <c r="I181" s="8">
        <v>12</v>
      </c>
      <c r="J181" s="10">
        <f t="shared" si="36"/>
        <v>1</v>
      </c>
      <c r="K181" s="11">
        <f t="shared" si="37"/>
        <v>1845807.18</v>
      </c>
      <c r="L181" s="11">
        <f t="shared" si="38"/>
        <v>97982.05</v>
      </c>
      <c r="M181" s="11">
        <f t="shared" si="39"/>
        <v>1943789.23</v>
      </c>
      <c r="N181" s="11">
        <f t="shared" si="40"/>
        <v>1943789.23</v>
      </c>
      <c r="O181" s="11">
        <f t="shared" si="41"/>
        <v>1514155.4750000001</v>
      </c>
      <c r="P181" s="12">
        <f>IF(AND(C181="F",M181&lt;O181,SUMIFS(Категории!$Z$5:$Z$11,Категории!$A$5:$A$11,B181)=1),1,0)</f>
        <v>0</v>
      </c>
      <c r="Q181" s="11">
        <f t="shared" si="42"/>
        <v>0</v>
      </c>
      <c r="R181" s="10">
        <f>IF(AND(P181=1,SUMIFS(Категории!$AA$5:$AA$11,Категории!$A$5:$A$11,B181)&gt;0),Q181/SUMIFS(Категории!$AA$5:$AA$11,Категории!$A$5:$A$11,B181),0)</f>
        <v>0</v>
      </c>
      <c r="S181" s="11">
        <f>R181*SUMIFS(Категории!$AB$5:$AB$11,Категории!$A$5:$A$11,B181)</f>
        <v>0</v>
      </c>
      <c r="T181" s="11">
        <f t="shared" si="43"/>
        <v>0</v>
      </c>
      <c r="U181" s="11">
        <f t="shared" si="44"/>
        <v>0</v>
      </c>
      <c r="V181" s="11">
        <f t="shared" si="45"/>
        <v>0</v>
      </c>
      <c r="W181" s="12">
        <f>IF(AND(C181="F",M181&lt;O181,SUMIFS(Категории!$AH$5:$AH$11,Категории!$A$5:$A$11,B181)=1),1,0)</f>
        <v>0</v>
      </c>
      <c r="X181" s="11">
        <f t="shared" si="46"/>
        <v>0</v>
      </c>
      <c r="Y181" s="10">
        <f>IF(AND(W181=1,SUMIFS(Категории!$AI$5:$AI$11,Категории!$A$5:$A$11,B181)&gt;0),X181/SUMIFS(Категории!$AI$5:$AI$11,Категории!$A$5:$A$11,B181),0)</f>
        <v>0</v>
      </c>
      <c r="Z181" s="11">
        <f>Y181*SUMIFS(Категории!$AJ$5:$AJ$11,Категории!$A$5:$A$11,B181)</f>
        <v>0</v>
      </c>
      <c r="AA181" s="11">
        <f t="shared" si="47"/>
        <v>0</v>
      </c>
      <c r="AB181" s="11">
        <f t="shared" si="48"/>
        <v>0</v>
      </c>
      <c r="AC181" s="11">
        <f t="shared" si="49"/>
        <v>0</v>
      </c>
      <c r="AD181" s="12">
        <f t="shared" si="50"/>
        <v>27</v>
      </c>
      <c r="AE181" s="12">
        <f t="shared" si="51"/>
        <v>30</v>
      </c>
      <c r="AF181" s="12">
        <f t="shared" si="52"/>
        <v>14</v>
      </c>
      <c r="AG181" s="12">
        <f t="shared" si="53"/>
        <v>17</v>
      </c>
    </row>
    <row r="182" spans="1:33" x14ac:dyDescent="0.3">
      <c r="A182" s="8" t="s">
        <v>244</v>
      </c>
      <c r="B182" s="8" t="s">
        <v>223</v>
      </c>
      <c r="C182" s="8" t="s">
        <v>61</v>
      </c>
      <c r="D182" s="9">
        <v>1515863.14</v>
      </c>
      <c r="E182" s="9">
        <v>81021.87</v>
      </c>
      <c r="F182" s="8">
        <v>5.2</v>
      </c>
      <c r="G182" s="8">
        <v>4</v>
      </c>
      <c r="H182" s="8">
        <v>1</v>
      </c>
      <c r="I182" s="8">
        <v>12</v>
      </c>
      <c r="J182" s="10">
        <f t="shared" si="36"/>
        <v>1</v>
      </c>
      <c r="K182" s="11">
        <f t="shared" si="37"/>
        <v>1515863.14</v>
      </c>
      <c r="L182" s="11">
        <f t="shared" si="38"/>
        <v>81021.87</v>
      </c>
      <c r="M182" s="11">
        <f t="shared" si="39"/>
        <v>1596885.0099999998</v>
      </c>
      <c r="N182" s="11">
        <f t="shared" si="40"/>
        <v>1596885.0099999998</v>
      </c>
      <c r="O182" s="11">
        <f t="shared" si="41"/>
        <v>1514155.4750000001</v>
      </c>
      <c r="P182" s="12">
        <f>IF(AND(C182="F",M182&lt;O182,SUMIFS(Категории!$Z$5:$Z$11,Категории!$A$5:$A$11,B182)=1),1,0)</f>
        <v>0</v>
      </c>
      <c r="Q182" s="11">
        <f t="shared" si="42"/>
        <v>0</v>
      </c>
      <c r="R182" s="10">
        <f>IF(AND(P182=1,SUMIFS(Категории!$AA$5:$AA$11,Категории!$A$5:$A$11,B182)&gt;0),Q182/SUMIFS(Категории!$AA$5:$AA$11,Категории!$A$5:$A$11,B182),0)</f>
        <v>0</v>
      </c>
      <c r="S182" s="11">
        <f>R182*SUMIFS(Категории!$AB$5:$AB$11,Категории!$A$5:$A$11,B182)</f>
        <v>0</v>
      </c>
      <c r="T182" s="11">
        <f t="shared" si="43"/>
        <v>0</v>
      </c>
      <c r="U182" s="11">
        <f t="shared" si="44"/>
        <v>0</v>
      </c>
      <c r="V182" s="11">
        <f t="shared" si="45"/>
        <v>0</v>
      </c>
      <c r="W182" s="12">
        <f>IF(AND(C182="F",M182&lt;O182,SUMIFS(Категории!$AH$5:$AH$11,Категории!$A$5:$A$11,B182)=1),1,0)</f>
        <v>0</v>
      </c>
      <c r="X182" s="11">
        <f t="shared" si="46"/>
        <v>0</v>
      </c>
      <c r="Y182" s="10">
        <f>IF(AND(W182=1,SUMIFS(Категории!$AI$5:$AI$11,Категории!$A$5:$A$11,B182)&gt;0),X182/SUMIFS(Категории!$AI$5:$AI$11,Категории!$A$5:$A$11,B182),0)</f>
        <v>0</v>
      </c>
      <c r="Z182" s="11">
        <f>Y182*SUMIFS(Категории!$AJ$5:$AJ$11,Категории!$A$5:$A$11,B182)</f>
        <v>0</v>
      </c>
      <c r="AA182" s="11">
        <f t="shared" si="47"/>
        <v>0</v>
      </c>
      <c r="AB182" s="11">
        <f t="shared" si="48"/>
        <v>0</v>
      </c>
      <c r="AC182" s="11">
        <f t="shared" si="49"/>
        <v>0</v>
      </c>
      <c r="AD182" s="12">
        <f t="shared" si="50"/>
        <v>17</v>
      </c>
      <c r="AE182" s="12">
        <f t="shared" si="51"/>
        <v>30</v>
      </c>
      <c r="AF182" s="12">
        <f t="shared" si="52"/>
        <v>7</v>
      </c>
      <c r="AG182" s="12">
        <f t="shared" si="53"/>
        <v>17</v>
      </c>
    </row>
    <row r="183" spans="1:33" x14ac:dyDescent="0.3">
      <c r="A183" s="8" t="s">
        <v>245</v>
      </c>
      <c r="B183" s="8" t="s">
        <v>223</v>
      </c>
      <c r="C183" s="8" t="s">
        <v>61</v>
      </c>
      <c r="D183" s="9">
        <v>1736229.17</v>
      </c>
      <c r="E183" s="9">
        <v>94450.04</v>
      </c>
      <c r="F183" s="8">
        <v>9.1999999999999993</v>
      </c>
      <c r="G183" s="8">
        <v>5</v>
      </c>
      <c r="H183" s="8">
        <v>1</v>
      </c>
      <c r="I183" s="8">
        <v>12</v>
      </c>
      <c r="J183" s="10">
        <f t="shared" si="36"/>
        <v>1</v>
      </c>
      <c r="K183" s="11">
        <f t="shared" si="37"/>
        <v>1736229.17</v>
      </c>
      <c r="L183" s="11">
        <f t="shared" si="38"/>
        <v>94450.04</v>
      </c>
      <c r="M183" s="11">
        <f t="shared" si="39"/>
        <v>1830679.21</v>
      </c>
      <c r="N183" s="11">
        <f t="shared" si="40"/>
        <v>1830679.21</v>
      </c>
      <c r="O183" s="11">
        <f t="shared" si="41"/>
        <v>1514155.4750000001</v>
      </c>
      <c r="P183" s="12">
        <f>IF(AND(C183="F",M183&lt;O183,SUMIFS(Категории!$Z$5:$Z$11,Категории!$A$5:$A$11,B183)=1),1,0)</f>
        <v>0</v>
      </c>
      <c r="Q183" s="11">
        <f t="shared" si="42"/>
        <v>0</v>
      </c>
      <c r="R183" s="10">
        <f>IF(AND(P183=1,SUMIFS(Категории!$AA$5:$AA$11,Категории!$A$5:$A$11,B183)&gt;0),Q183/SUMIFS(Категории!$AA$5:$AA$11,Категории!$A$5:$A$11,B183),0)</f>
        <v>0</v>
      </c>
      <c r="S183" s="11">
        <f>R183*SUMIFS(Категории!$AB$5:$AB$11,Категории!$A$5:$A$11,B183)</f>
        <v>0</v>
      </c>
      <c r="T183" s="11">
        <f t="shared" si="43"/>
        <v>0</v>
      </c>
      <c r="U183" s="11">
        <f t="shared" si="44"/>
        <v>0</v>
      </c>
      <c r="V183" s="11">
        <f t="shared" si="45"/>
        <v>0</v>
      </c>
      <c r="W183" s="12">
        <f>IF(AND(C183="F",M183&lt;O183,SUMIFS(Категории!$AH$5:$AH$11,Категории!$A$5:$A$11,B183)=1),1,0)</f>
        <v>0</v>
      </c>
      <c r="X183" s="11">
        <f t="shared" si="46"/>
        <v>0</v>
      </c>
      <c r="Y183" s="10">
        <f>IF(AND(W183=1,SUMIFS(Категории!$AI$5:$AI$11,Категории!$A$5:$A$11,B183)&gt;0),X183/SUMIFS(Категории!$AI$5:$AI$11,Категории!$A$5:$A$11,B183),0)</f>
        <v>0</v>
      </c>
      <c r="Z183" s="11">
        <f>Y183*SUMIFS(Категории!$AJ$5:$AJ$11,Категории!$A$5:$A$11,B183)</f>
        <v>0</v>
      </c>
      <c r="AA183" s="11">
        <f t="shared" si="47"/>
        <v>0</v>
      </c>
      <c r="AB183" s="11">
        <f t="shared" si="48"/>
        <v>0</v>
      </c>
      <c r="AC183" s="11">
        <f t="shared" si="49"/>
        <v>0</v>
      </c>
      <c r="AD183" s="12">
        <f t="shared" si="50"/>
        <v>24</v>
      </c>
      <c r="AE183" s="12">
        <f t="shared" si="51"/>
        <v>30</v>
      </c>
      <c r="AF183" s="12">
        <f t="shared" si="52"/>
        <v>12</v>
      </c>
      <c r="AG183" s="12">
        <f t="shared" si="53"/>
        <v>17</v>
      </c>
    </row>
    <row r="184" spans="1:33" x14ac:dyDescent="0.3">
      <c r="A184" s="8" t="s">
        <v>246</v>
      </c>
      <c r="B184" s="8" t="s">
        <v>223</v>
      </c>
      <c r="C184" s="8" t="s">
        <v>61</v>
      </c>
      <c r="D184" s="9">
        <v>1401832.38</v>
      </c>
      <c r="E184" s="9">
        <v>72999.83</v>
      </c>
      <c r="F184" s="8">
        <v>2.7</v>
      </c>
      <c r="G184" s="8">
        <v>4</v>
      </c>
      <c r="H184" s="8">
        <v>1</v>
      </c>
      <c r="I184" s="8">
        <v>12</v>
      </c>
      <c r="J184" s="10">
        <f t="shared" si="36"/>
        <v>1</v>
      </c>
      <c r="K184" s="11">
        <f t="shared" si="37"/>
        <v>1401832.38</v>
      </c>
      <c r="L184" s="11">
        <f t="shared" si="38"/>
        <v>72999.83</v>
      </c>
      <c r="M184" s="11">
        <f t="shared" si="39"/>
        <v>1474832.21</v>
      </c>
      <c r="N184" s="11">
        <f t="shared" si="40"/>
        <v>1474832.21</v>
      </c>
      <c r="O184" s="11">
        <f t="shared" si="41"/>
        <v>1514155.4750000001</v>
      </c>
      <c r="P184" s="12">
        <f>IF(AND(C184="F",M184&lt;O184,SUMIFS(Категории!$Z$5:$Z$11,Категории!$A$5:$A$11,B184)=1),1,0)</f>
        <v>0</v>
      </c>
      <c r="Q184" s="11">
        <f t="shared" si="42"/>
        <v>0</v>
      </c>
      <c r="R184" s="10">
        <f>IF(AND(P184=1,SUMIFS(Категории!$AA$5:$AA$11,Категории!$A$5:$A$11,B184)&gt;0),Q184/SUMIFS(Категории!$AA$5:$AA$11,Категории!$A$5:$A$11,B184),0)</f>
        <v>0</v>
      </c>
      <c r="S184" s="11">
        <f>R184*SUMIFS(Категории!$AB$5:$AB$11,Категории!$A$5:$A$11,B184)</f>
        <v>0</v>
      </c>
      <c r="T184" s="11">
        <f t="shared" si="43"/>
        <v>0</v>
      </c>
      <c r="U184" s="11">
        <f t="shared" si="44"/>
        <v>0</v>
      </c>
      <c r="V184" s="11">
        <f t="shared" si="45"/>
        <v>0</v>
      </c>
      <c r="W184" s="12">
        <f>IF(AND(C184="F",M184&lt;O184,SUMIFS(Категории!$AH$5:$AH$11,Категории!$A$5:$A$11,B184)=1),1,0)</f>
        <v>0</v>
      </c>
      <c r="X184" s="11">
        <f t="shared" si="46"/>
        <v>0</v>
      </c>
      <c r="Y184" s="10">
        <f>IF(AND(W184=1,SUMIFS(Категории!$AI$5:$AI$11,Категории!$A$5:$A$11,B184)&gt;0),X184/SUMIFS(Категории!$AI$5:$AI$11,Категории!$A$5:$A$11,B184),0)</f>
        <v>0</v>
      </c>
      <c r="Z184" s="11">
        <f>Y184*SUMIFS(Категории!$AJ$5:$AJ$11,Категории!$A$5:$A$11,B184)</f>
        <v>0</v>
      </c>
      <c r="AA184" s="11">
        <f t="shared" si="47"/>
        <v>0</v>
      </c>
      <c r="AB184" s="11">
        <f t="shared" si="48"/>
        <v>0</v>
      </c>
      <c r="AC184" s="11">
        <f t="shared" si="49"/>
        <v>0</v>
      </c>
      <c r="AD184" s="12">
        <f t="shared" si="50"/>
        <v>13</v>
      </c>
      <c r="AE184" s="12">
        <f t="shared" si="51"/>
        <v>30</v>
      </c>
      <c r="AF184" s="12">
        <f t="shared" si="52"/>
        <v>4</v>
      </c>
      <c r="AG184" s="12">
        <f t="shared" si="53"/>
        <v>17</v>
      </c>
    </row>
    <row r="185" spans="1:33" x14ac:dyDescent="0.3">
      <c r="A185" s="8" t="s">
        <v>247</v>
      </c>
      <c r="B185" s="8" t="s">
        <v>223</v>
      </c>
      <c r="C185" s="8" t="s">
        <v>61</v>
      </c>
      <c r="D185" s="9">
        <v>1666291.63</v>
      </c>
      <c r="E185" s="9">
        <v>74819.78</v>
      </c>
      <c r="F185" s="8">
        <v>6.3</v>
      </c>
      <c r="G185" s="8">
        <v>5</v>
      </c>
      <c r="H185" s="8">
        <v>1</v>
      </c>
      <c r="I185" s="8">
        <v>12</v>
      </c>
      <c r="J185" s="10">
        <f t="shared" si="36"/>
        <v>1</v>
      </c>
      <c r="K185" s="11">
        <f t="shared" si="37"/>
        <v>1666291.63</v>
      </c>
      <c r="L185" s="11">
        <f t="shared" si="38"/>
        <v>74819.78</v>
      </c>
      <c r="M185" s="11">
        <f t="shared" si="39"/>
        <v>1741111.41</v>
      </c>
      <c r="N185" s="11">
        <f t="shared" si="40"/>
        <v>1741111.41</v>
      </c>
      <c r="O185" s="11">
        <f t="shared" si="41"/>
        <v>1514155.4750000001</v>
      </c>
      <c r="P185" s="12">
        <f>IF(AND(C185="F",M185&lt;O185,SUMIFS(Категории!$Z$5:$Z$11,Категории!$A$5:$A$11,B185)=1),1,0)</f>
        <v>0</v>
      </c>
      <c r="Q185" s="11">
        <f t="shared" si="42"/>
        <v>0</v>
      </c>
      <c r="R185" s="10">
        <f>IF(AND(P185=1,SUMIFS(Категории!$AA$5:$AA$11,Категории!$A$5:$A$11,B185)&gt;0),Q185/SUMIFS(Категории!$AA$5:$AA$11,Категории!$A$5:$A$11,B185),0)</f>
        <v>0</v>
      </c>
      <c r="S185" s="11">
        <f>R185*SUMIFS(Категории!$AB$5:$AB$11,Категории!$A$5:$A$11,B185)</f>
        <v>0</v>
      </c>
      <c r="T185" s="11">
        <f t="shared" si="43"/>
        <v>0</v>
      </c>
      <c r="U185" s="11">
        <f t="shared" si="44"/>
        <v>0</v>
      </c>
      <c r="V185" s="11">
        <f t="shared" si="45"/>
        <v>0</v>
      </c>
      <c r="W185" s="12">
        <f>IF(AND(C185="F",M185&lt;O185,SUMIFS(Категории!$AH$5:$AH$11,Категории!$A$5:$A$11,B185)=1),1,0)</f>
        <v>0</v>
      </c>
      <c r="X185" s="11">
        <f t="shared" si="46"/>
        <v>0</v>
      </c>
      <c r="Y185" s="10">
        <f>IF(AND(W185=1,SUMIFS(Категории!$AI$5:$AI$11,Категории!$A$5:$A$11,B185)&gt;0),X185/SUMIFS(Категории!$AI$5:$AI$11,Категории!$A$5:$A$11,B185),0)</f>
        <v>0</v>
      </c>
      <c r="Z185" s="11">
        <f>Y185*SUMIFS(Категории!$AJ$5:$AJ$11,Категории!$A$5:$A$11,B185)</f>
        <v>0</v>
      </c>
      <c r="AA185" s="11">
        <f t="shared" si="47"/>
        <v>0</v>
      </c>
      <c r="AB185" s="11">
        <f t="shared" si="48"/>
        <v>0</v>
      </c>
      <c r="AC185" s="11">
        <f t="shared" si="49"/>
        <v>0</v>
      </c>
      <c r="AD185" s="12">
        <f t="shared" si="50"/>
        <v>22</v>
      </c>
      <c r="AE185" s="12">
        <f t="shared" si="51"/>
        <v>30</v>
      </c>
      <c r="AF185" s="12">
        <f t="shared" si="52"/>
        <v>10</v>
      </c>
      <c r="AG185" s="12">
        <f t="shared" si="53"/>
        <v>17</v>
      </c>
    </row>
    <row r="186" spans="1:33" x14ac:dyDescent="0.3">
      <c r="A186" s="8" t="s">
        <v>248</v>
      </c>
      <c r="B186" s="8" t="s">
        <v>223</v>
      </c>
      <c r="C186" s="8" t="s">
        <v>61</v>
      </c>
      <c r="D186" s="9">
        <v>1453195.91</v>
      </c>
      <c r="E186" s="9">
        <v>68450.210000000006</v>
      </c>
      <c r="F186" s="8">
        <v>7.4</v>
      </c>
      <c r="G186" s="8">
        <v>4</v>
      </c>
      <c r="H186" s="8">
        <v>1</v>
      </c>
      <c r="I186" s="8">
        <v>12</v>
      </c>
      <c r="J186" s="10">
        <f t="shared" si="36"/>
        <v>1</v>
      </c>
      <c r="K186" s="11">
        <f t="shared" si="37"/>
        <v>1453195.91</v>
      </c>
      <c r="L186" s="11">
        <f t="shared" si="38"/>
        <v>68450.210000000006</v>
      </c>
      <c r="M186" s="11">
        <f t="shared" si="39"/>
        <v>1521646.1199999999</v>
      </c>
      <c r="N186" s="11">
        <f t="shared" si="40"/>
        <v>1521646.1199999999</v>
      </c>
      <c r="O186" s="11">
        <f t="shared" si="41"/>
        <v>1514155.4750000001</v>
      </c>
      <c r="P186" s="12">
        <f>IF(AND(C186="F",M186&lt;O186,SUMIFS(Категории!$Z$5:$Z$11,Категории!$A$5:$A$11,B186)=1),1,0)</f>
        <v>0</v>
      </c>
      <c r="Q186" s="11">
        <f t="shared" si="42"/>
        <v>0</v>
      </c>
      <c r="R186" s="10">
        <f>IF(AND(P186=1,SUMIFS(Категории!$AA$5:$AA$11,Категории!$A$5:$A$11,B186)&gt;0),Q186/SUMIFS(Категории!$AA$5:$AA$11,Категории!$A$5:$A$11,B186),0)</f>
        <v>0</v>
      </c>
      <c r="S186" s="11">
        <f>R186*SUMIFS(Категории!$AB$5:$AB$11,Категории!$A$5:$A$11,B186)</f>
        <v>0</v>
      </c>
      <c r="T186" s="11">
        <f t="shared" si="43"/>
        <v>0</v>
      </c>
      <c r="U186" s="11">
        <f t="shared" si="44"/>
        <v>0</v>
      </c>
      <c r="V186" s="11">
        <f t="shared" si="45"/>
        <v>0</v>
      </c>
      <c r="W186" s="12">
        <f>IF(AND(C186="F",M186&lt;O186,SUMIFS(Категории!$AH$5:$AH$11,Категории!$A$5:$A$11,B186)=1),1,0)</f>
        <v>0</v>
      </c>
      <c r="X186" s="11">
        <f t="shared" si="46"/>
        <v>0</v>
      </c>
      <c r="Y186" s="10">
        <f>IF(AND(W186=1,SUMIFS(Категории!$AI$5:$AI$11,Категории!$A$5:$A$11,B186)&gt;0),X186/SUMIFS(Категории!$AI$5:$AI$11,Категории!$A$5:$A$11,B186),0)</f>
        <v>0</v>
      </c>
      <c r="Z186" s="11">
        <f>Y186*SUMIFS(Категории!$AJ$5:$AJ$11,Категории!$A$5:$A$11,B186)</f>
        <v>0</v>
      </c>
      <c r="AA186" s="11">
        <f t="shared" si="47"/>
        <v>0</v>
      </c>
      <c r="AB186" s="11">
        <f t="shared" si="48"/>
        <v>0</v>
      </c>
      <c r="AC186" s="11">
        <f t="shared" si="49"/>
        <v>0</v>
      </c>
      <c r="AD186" s="12">
        <f t="shared" si="50"/>
        <v>16</v>
      </c>
      <c r="AE186" s="12">
        <f t="shared" si="51"/>
        <v>30</v>
      </c>
      <c r="AF186" s="12">
        <f t="shared" si="52"/>
        <v>6</v>
      </c>
      <c r="AG186" s="12">
        <f t="shared" si="53"/>
        <v>17</v>
      </c>
    </row>
    <row r="187" spans="1:33" x14ac:dyDescent="0.3">
      <c r="A187" s="8" t="s">
        <v>249</v>
      </c>
      <c r="B187" s="8" t="s">
        <v>223</v>
      </c>
      <c r="C187" s="8" t="s">
        <v>61</v>
      </c>
      <c r="D187" s="9">
        <v>1386912.6</v>
      </c>
      <c r="E187" s="9">
        <v>74801.009999999995</v>
      </c>
      <c r="F187" s="8">
        <v>3.7</v>
      </c>
      <c r="G187" s="8">
        <v>4</v>
      </c>
      <c r="H187" s="8">
        <v>1</v>
      </c>
      <c r="I187" s="8">
        <v>12</v>
      </c>
      <c r="J187" s="10">
        <f t="shared" si="36"/>
        <v>1</v>
      </c>
      <c r="K187" s="11">
        <f t="shared" si="37"/>
        <v>1386912.6</v>
      </c>
      <c r="L187" s="11">
        <f t="shared" si="38"/>
        <v>74801.009999999995</v>
      </c>
      <c r="M187" s="11">
        <f t="shared" si="39"/>
        <v>1461713.61</v>
      </c>
      <c r="N187" s="11">
        <f t="shared" si="40"/>
        <v>1461713.61</v>
      </c>
      <c r="O187" s="11">
        <f t="shared" si="41"/>
        <v>1514155.4750000001</v>
      </c>
      <c r="P187" s="12">
        <f>IF(AND(C187="F",M187&lt;O187,SUMIFS(Категории!$Z$5:$Z$11,Категории!$A$5:$A$11,B187)=1),1,0)</f>
        <v>0</v>
      </c>
      <c r="Q187" s="11">
        <f t="shared" si="42"/>
        <v>0</v>
      </c>
      <c r="R187" s="10">
        <f>IF(AND(P187=1,SUMIFS(Категории!$AA$5:$AA$11,Категории!$A$5:$A$11,B187)&gt;0),Q187/SUMIFS(Категории!$AA$5:$AA$11,Категории!$A$5:$A$11,B187),0)</f>
        <v>0</v>
      </c>
      <c r="S187" s="11">
        <f>R187*SUMIFS(Категории!$AB$5:$AB$11,Категории!$A$5:$A$11,B187)</f>
        <v>0</v>
      </c>
      <c r="T187" s="11">
        <f t="shared" si="43"/>
        <v>0</v>
      </c>
      <c r="U187" s="11">
        <f t="shared" si="44"/>
        <v>0</v>
      </c>
      <c r="V187" s="11">
        <f t="shared" si="45"/>
        <v>0</v>
      </c>
      <c r="W187" s="12">
        <f>IF(AND(C187="F",M187&lt;O187,SUMIFS(Категории!$AH$5:$AH$11,Категории!$A$5:$A$11,B187)=1),1,0)</f>
        <v>0</v>
      </c>
      <c r="X187" s="11">
        <f t="shared" si="46"/>
        <v>0</v>
      </c>
      <c r="Y187" s="10">
        <f>IF(AND(W187=1,SUMIFS(Категории!$AI$5:$AI$11,Категории!$A$5:$A$11,B187)&gt;0),X187/SUMIFS(Категории!$AI$5:$AI$11,Категории!$A$5:$A$11,B187),0)</f>
        <v>0</v>
      </c>
      <c r="Z187" s="11">
        <f>Y187*SUMIFS(Категории!$AJ$5:$AJ$11,Категории!$A$5:$A$11,B187)</f>
        <v>0</v>
      </c>
      <c r="AA187" s="11">
        <f t="shared" si="47"/>
        <v>0</v>
      </c>
      <c r="AB187" s="11">
        <f t="shared" si="48"/>
        <v>0</v>
      </c>
      <c r="AC187" s="11">
        <f t="shared" si="49"/>
        <v>0</v>
      </c>
      <c r="AD187" s="12">
        <f t="shared" si="50"/>
        <v>12</v>
      </c>
      <c r="AE187" s="12">
        <f t="shared" si="51"/>
        <v>30</v>
      </c>
      <c r="AF187" s="12">
        <f t="shared" si="52"/>
        <v>3</v>
      </c>
      <c r="AG187" s="12">
        <f t="shared" si="53"/>
        <v>17</v>
      </c>
    </row>
    <row r="188" spans="1:33" x14ac:dyDescent="0.3">
      <c r="A188" s="8" t="s">
        <v>250</v>
      </c>
      <c r="B188" s="8" t="s">
        <v>223</v>
      </c>
      <c r="C188" s="8" t="s">
        <v>61</v>
      </c>
      <c r="D188" s="9">
        <v>1414307.51</v>
      </c>
      <c r="E188" s="9">
        <v>86209.2</v>
      </c>
      <c r="F188" s="8">
        <v>3.8</v>
      </c>
      <c r="G188" s="8">
        <v>4</v>
      </c>
      <c r="H188" s="8">
        <v>1</v>
      </c>
      <c r="I188" s="8">
        <v>12</v>
      </c>
      <c r="J188" s="10">
        <f t="shared" si="36"/>
        <v>1</v>
      </c>
      <c r="K188" s="11">
        <f t="shared" si="37"/>
        <v>1414307.51</v>
      </c>
      <c r="L188" s="11">
        <f t="shared" si="38"/>
        <v>86209.2</v>
      </c>
      <c r="M188" s="11">
        <f t="shared" si="39"/>
        <v>1500516.71</v>
      </c>
      <c r="N188" s="11">
        <f t="shared" si="40"/>
        <v>1500516.71</v>
      </c>
      <c r="O188" s="11">
        <f t="shared" si="41"/>
        <v>1514155.4750000001</v>
      </c>
      <c r="P188" s="12">
        <f>IF(AND(C188="F",M188&lt;O188,SUMIFS(Категории!$Z$5:$Z$11,Категории!$A$5:$A$11,B188)=1),1,0)</f>
        <v>0</v>
      </c>
      <c r="Q188" s="11">
        <f t="shared" si="42"/>
        <v>0</v>
      </c>
      <c r="R188" s="10">
        <f>IF(AND(P188=1,SUMIFS(Категории!$AA$5:$AA$11,Категории!$A$5:$A$11,B188)&gt;0),Q188/SUMIFS(Категории!$AA$5:$AA$11,Категории!$A$5:$A$11,B188),0)</f>
        <v>0</v>
      </c>
      <c r="S188" s="11">
        <f>R188*SUMIFS(Категории!$AB$5:$AB$11,Категории!$A$5:$A$11,B188)</f>
        <v>0</v>
      </c>
      <c r="T188" s="11">
        <f t="shared" si="43"/>
        <v>0</v>
      </c>
      <c r="U188" s="11">
        <f t="shared" si="44"/>
        <v>0</v>
      </c>
      <c r="V188" s="11">
        <f t="shared" si="45"/>
        <v>0</v>
      </c>
      <c r="W188" s="12">
        <f>IF(AND(C188="F",M188&lt;O188,SUMIFS(Категории!$AH$5:$AH$11,Категории!$A$5:$A$11,B188)=1),1,0)</f>
        <v>0</v>
      </c>
      <c r="X188" s="11">
        <f t="shared" si="46"/>
        <v>0</v>
      </c>
      <c r="Y188" s="10">
        <f>IF(AND(W188=1,SUMIFS(Категории!$AI$5:$AI$11,Категории!$A$5:$A$11,B188)&gt;0),X188/SUMIFS(Категории!$AI$5:$AI$11,Категории!$A$5:$A$11,B188),0)</f>
        <v>0</v>
      </c>
      <c r="Z188" s="11">
        <f>Y188*SUMIFS(Категории!$AJ$5:$AJ$11,Категории!$A$5:$A$11,B188)</f>
        <v>0</v>
      </c>
      <c r="AA188" s="11">
        <f t="shared" si="47"/>
        <v>0</v>
      </c>
      <c r="AB188" s="11">
        <f t="shared" si="48"/>
        <v>0</v>
      </c>
      <c r="AC188" s="11">
        <f t="shared" si="49"/>
        <v>0</v>
      </c>
      <c r="AD188" s="12">
        <f t="shared" si="50"/>
        <v>14</v>
      </c>
      <c r="AE188" s="12">
        <f t="shared" si="51"/>
        <v>30</v>
      </c>
      <c r="AF188" s="12">
        <f t="shared" si="52"/>
        <v>5</v>
      </c>
      <c r="AG188" s="12">
        <f t="shared" si="53"/>
        <v>17</v>
      </c>
    </row>
    <row r="189" spans="1:33" x14ac:dyDescent="0.3">
      <c r="A189" s="8" t="s">
        <v>251</v>
      </c>
      <c r="B189" s="8" t="s">
        <v>223</v>
      </c>
      <c r="C189" s="8" t="s">
        <v>61</v>
      </c>
      <c r="D189" s="9">
        <v>1553767.34</v>
      </c>
      <c r="E189" s="9">
        <v>87926.18</v>
      </c>
      <c r="F189" s="8">
        <v>7.2</v>
      </c>
      <c r="G189" s="8">
        <v>4</v>
      </c>
      <c r="H189" s="8">
        <v>1</v>
      </c>
      <c r="I189" s="8">
        <v>12</v>
      </c>
      <c r="J189" s="10">
        <f t="shared" si="36"/>
        <v>1</v>
      </c>
      <c r="K189" s="11">
        <f t="shared" si="37"/>
        <v>1553767.34</v>
      </c>
      <c r="L189" s="11">
        <f t="shared" si="38"/>
        <v>87926.18</v>
      </c>
      <c r="M189" s="11">
        <f t="shared" si="39"/>
        <v>1641693.52</v>
      </c>
      <c r="N189" s="11">
        <f t="shared" si="40"/>
        <v>1641693.52</v>
      </c>
      <c r="O189" s="11">
        <f t="shared" si="41"/>
        <v>1514155.4750000001</v>
      </c>
      <c r="P189" s="12">
        <f>IF(AND(C189="F",M189&lt;O189,SUMIFS(Категории!$Z$5:$Z$11,Категории!$A$5:$A$11,B189)=1),1,0)</f>
        <v>0</v>
      </c>
      <c r="Q189" s="11">
        <f t="shared" si="42"/>
        <v>0</v>
      </c>
      <c r="R189" s="10">
        <f>IF(AND(P189=1,SUMIFS(Категории!$AA$5:$AA$11,Категории!$A$5:$A$11,B189)&gt;0),Q189/SUMIFS(Категории!$AA$5:$AA$11,Категории!$A$5:$A$11,B189),0)</f>
        <v>0</v>
      </c>
      <c r="S189" s="11">
        <f>R189*SUMIFS(Категории!$AB$5:$AB$11,Категории!$A$5:$A$11,B189)</f>
        <v>0</v>
      </c>
      <c r="T189" s="11">
        <f t="shared" si="43"/>
        <v>0</v>
      </c>
      <c r="U189" s="11">
        <f t="shared" si="44"/>
        <v>0</v>
      </c>
      <c r="V189" s="11">
        <f t="shared" si="45"/>
        <v>0</v>
      </c>
      <c r="W189" s="12">
        <f>IF(AND(C189="F",M189&lt;O189,SUMIFS(Категории!$AH$5:$AH$11,Категории!$A$5:$A$11,B189)=1),1,0)</f>
        <v>0</v>
      </c>
      <c r="X189" s="11">
        <f t="shared" si="46"/>
        <v>0</v>
      </c>
      <c r="Y189" s="10">
        <f>IF(AND(W189=1,SUMIFS(Категории!$AI$5:$AI$11,Категории!$A$5:$A$11,B189)&gt;0),X189/SUMIFS(Категории!$AI$5:$AI$11,Категории!$A$5:$A$11,B189),0)</f>
        <v>0</v>
      </c>
      <c r="Z189" s="11">
        <f>Y189*SUMIFS(Категории!$AJ$5:$AJ$11,Категории!$A$5:$A$11,B189)</f>
        <v>0</v>
      </c>
      <c r="AA189" s="11">
        <f t="shared" si="47"/>
        <v>0</v>
      </c>
      <c r="AB189" s="11">
        <f t="shared" si="48"/>
        <v>0</v>
      </c>
      <c r="AC189" s="11">
        <f t="shared" si="49"/>
        <v>0</v>
      </c>
      <c r="AD189" s="12">
        <f t="shared" si="50"/>
        <v>18</v>
      </c>
      <c r="AE189" s="12">
        <f t="shared" si="51"/>
        <v>30</v>
      </c>
      <c r="AF189" s="12">
        <f t="shared" si="52"/>
        <v>8</v>
      </c>
      <c r="AG189" s="12">
        <f t="shared" si="53"/>
        <v>17</v>
      </c>
    </row>
    <row r="190" spans="1:33" x14ac:dyDescent="0.3">
      <c r="A190" s="8" t="s">
        <v>252</v>
      </c>
      <c r="B190" s="8" t="s">
        <v>223</v>
      </c>
      <c r="C190" s="8" t="s">
        <v>66</v>
      </c>
      <c r="D190" s="9">
        <v>1427413.01</v>
      </c>
      <c r="E190" s="9">
        <v>79251.820000000007</v>
      </c>
      <c r="F190" s="8">
        <v>9.6999999999999993</v>
      </c>
      <c r="G190" s="8">
        <v>5</v>
      </c>
      <c r="H190" s="8">
        <v>1</v>
      </c>
      <c r="I190" s="8">
        <v>12</v>
      </c>
      <c r="J190" s="10">
        <f t="shared" si="36"/>
        <v>1</v>
      </c>
      <c r="K190" s="11">
        <f t="shared" si="37"/>
        <v>1427413.01</v>
      </c>
      <c r="L190" s="11">
        <f t="shared" si="38"/>
        <v>79251.820000000007</v>
      </c>
      <c r="M190" s="11">
        <f t="shared" si="39"/>
        <v>1506664.83</v>
      </c>
      <c r="N190" s="11">
        <f t="shared" si="40"/>
        <v>1506664.83</v>
      </c>
      <c r="O190" s="11">
        <f t="shared" si="41"/>
        <v>1514155.4750000001</v>
      </c>
      <c r="P190" s="12">
        <f>IF(AND(C190="F",M190&lt;O190,SUMIFS(Категории!$Z$5:$Z$11,Категории!$A$5:$A$11,B190)=1),1,0)</f>
        <v>1</v>
      </c>
      <c r="Q190" s="11">
        <f t="shared" si="42"/>
        <v>7490.6450000000186</v>
      </c>
      <c r="R190" s="10">
        <f>IF(AND(P190=1,SUMIFS(Категории!$AA$5:$AA$11,Категории!$A$5:$A$11,B190)&gt;0),Q190/SUMIFS(Категории!$AA$5:$AA$11,Категории!$A$5:$A$11,B190),0)</f>
        <v>3.7326224090234467E-3</v>
      </c>
      <c r="S190" s="11">
        <f>R190*SUMIFS(Категории!$AB$5:$AB$11,Категории!$A$5:$A$11,B190)</f>
        <v>990.15286010772661</v>
      </c>
      <c r="T190" s="11">
        <f t="shared" si="43"/>
        <v>990.15286010772661</v>
      </c>
      <c r="U190" s="11">
        <f t="shared" si="44"/>
        <v>297.04585803231799</v>
      </c>
      <c r="V190" s="11">
        <f t="shared" si="45"/>
        <v>1287.1987181400445</v>
      </c>
      <c r="W190" s="12">
        <f>IF(AND(C190="F",M190&lt;O190,SUMIFS(Категории!$AH$5:$AH$11,Категории!$A$5:$A$11,B190)=1),1,0)</f>
        <v>1</v>
      </c>
      <c r="X190" s="11">
        <f t="shared" si="46"/>
        <v>7490.6450000000186</v>
      </c>
      <c r="Y190" s="10">
        <f>IF(AND(W190=1,SUMIFS(Категории!$AI$5:$AI$11,Категории!$A$5:$A$11,B190)&gt;0),X190/SUMIFS(Категории!$AI$5:$AI$11,Категории!$A$5:$A$11,B190),0)</f>
        <v>3.7326224090234467E-3</v>
      </c>
      <c r="Z190" s="11">
        <f>Y190*SUMIFS(Категории!$AJ$5:$AJ$11,Категории!$A$5:$A$11,B190)</f>
        <v>5121.5478795344325</v>
      </c>
      <c r="AA190" s="11">
        <f t="shared" si="47"/>
        <v>5121.5478795344325</v>
      </c>
      <c r="AB190" s="11">
        <f t="shared" si="48"/>
        <v>1536.4643638603297</v>
      </c>
      <c r="AC190" s="11">
        <f t="shared" si="49"/>
        <v>6658.0122433947618</v>
      </c>
      <c r="AD190" s="12">
        <f t="shared" si="50"/>
        <v>15</v>
      </c>
      <c r="AE190" s="12">
        <f t="shared" si="51"/>
        <v>30</v>
      </c>
      <c r="AF190" s="12">
        <f t="shared" si="52"/>
        <v>10</v>
      </c>
      <c r="AG190" s="12">
        <f t="shared" si="53"/>
        <v>13</v>
      </c>
    </row>
    <row r="191" spans="1:33" x14ac:dyDescent="0.3">
      <c r="A191" s="8" t="s">
        <v>253</v>
      </c>
      <c r="B191" s="8" t="s">
        <v>254</v>
      </c>
      <c r="C191" s="8" t="s">
        <v>66</v>
      </c>
      <c r="D191" s="9">
        <v>2626624</v>
      </c>
      <c r="E191" s="9">
        <v>341461.12</v>
      </c>
      <c r="F191" s="8">
        <v>4.4000000000000004</v>
      </c>
      <c r="G191" s="8">
        <v>9</v>
      </c>
      <c r="H191" s="8">
        <v>1</v>
      </c>
      <c r="I191" s="8">
        <v>12</v>
      </c>
      <c r="J191" s="10">
        <f t="shared" si="36"/>
        <v>1</v>
      </c>
      <c r="K191" s="11">
        <f t="shared" si="37"/>
        <v>2626624</v>
      </c>
      <c r="L191" s="11">
        <f t="shared" si="38"/>
        <v>341461.12</v>
      </c>
      <c r="M191" s="11">
        <f t="shared" si="39"/>
        <v>2968085.12</v>
      </c>
      <c r="N191" s="11">
        <f t="shared" si="40"/>
        <v>2968085.12</v>
      </c>
      <c r="O191" s="11">
        <f t="shared" si="41"/>
        <v>3401436.6850000001</v>
      </c>
      <c r="P191" s="12">
        <f>IF(AND(C191="F",M191&lt;O191,SUMIFS(Категории!$Z$5:$Z$11,Категории!$A$5:$A$11,B191)=1),1,0)</f>
        <v>1</v>
      </c>
      <c r="Q191" s="11">
        <f t="shared" si="42"/>
        <v>433351.56499999994</v>
      </c>
      <c r="R191" s="10">
        <f>IF(AND(P191=1,SUMIFS(Категории!$AA$5:$AA$11,Категории!$A$5:$A$11,B191)&gt;0),Q191/SUMIFS(Категории!$AA$5:$AA$11,Категории!$A$5:$A$11,B191),0)</f>
        <v>0.11179330737355149</v>
      </c>
      <c r="S191" s="11">
        <f>R191*SUMIFS(Категории!$AB$5:$AB$11,Категории!$A$5:$A$11,B191)</f>
        <v>288062.96598606883</v>
      </c>
      <c r="T191" s="11">
        <f t="shared" si="43"/>
        <v>288062.96598606883</v>
      </c>
      <c r="U191" s="11">
        <f t="shared" si="44"/>
        <v>86418.889795820651</v>
      </c>
      <c r="V191" s="11">
        <f t="shared" si="45"/>
        <v>374481.85578188946</v>
      </c>
      <c r="W191" s="12">
        <f>IF(AND(C191="F",M191&lt;O191,SUMIFS(Категории!$AH$5:$AH$11,Категории!$A$5:$A$11,B191)=1),1,0)</f>
        <v>1</v>
      </c>
      <c r="X191" s="11">
        <f t="shared" si="46"/>
        <v>433351.56499999994</v>
      </c>
      <c r="Y191" s="10">
        <f>IF(AND(W191=1,SUMIFS(Категории!$AI$5:$AI$11,Категории!$A$5:$A$11,B191)&gt;0),X191/SUMIFS(Категории!$AI$5:$AI$11,Категории!$A$5:$A$11,B191),0)</f>
        <v>0.11179330737355149</v>
      </c>
      <c r="Z191" s="11">
        <f>Y191*SUMIFS(Категории!$AJ$5:$AJ$11,Категории!$A$5:$A$11,B191)</f>
        <v>558928.14369220787</v>
      </c>
      <c r="AA191" s="11">
        <f t="shared" si="47"/>
        <v>558928.14369220787</v>
      </c>
      <c r="AB191" s="11">
        <f t="shared" si="48"/>
        <v>136902.17369752339</v>
      </c>
      <c r="AC191" s="11">
        <f t="shared" si="49"/>
        <v>695830.3173897313</v>
      </c>
      <c r="AD191" s="12">
        <f t="shared" si="50"/>
        <v>9</v>
      </c>
      <c r="AE191" s="12">
        <f t="shared" si="51"/>
        <v>26</v>
      </c>
      <c r="AF191" s="12">
        <f t="shared" si="52"/>
        <v>6</v>
      </c>
      <c r="AG191" s="12">
        <f t="shared" si="53"/>
        <v>13</v>
      </c>
    </row>
    <row r="192" spans="1:33" x14ac:dyDescent="0.3">
      <c r="A192" s="8" t="s">
        <v>255</v>
      </c>
      <c r="B192" s="8" t="s">
        <v>254</v>
      </c>
      <c r="C192" s="8" t="s">
        <v>61</v>
      </c>
      <c r="D192" s="9">
        <v>2626624</v>
      </c>
      <c r="E192" s="9">
        <v>682922.24</v>
      </c>
      <c r="F192" s="8">
        <v>4.4000000000000004</v>
      </c>
      <c r="G192" s="8">
        <v>9</v>
      </c>
      <c r="H192" s="8">
        <v>1</v>
      </c>
      <c r="I192" s="8">
        <v>12</v>
      </c>
      <c r="J192" s="10">
        <f t="shared" si="36"/>
        <v>1</v>
      </c>
      <c r="K192" s="11">
        <f t="shared" si="37"/>
        <v>2626624</v>
      </c>
      <c r="L192" s="11">
        <f t="shared" si="38"/>
        <v>682922.24</v>
      </c>
      <c r="M192" s="11">
        <f t="shared" si="39"/>
        <v>3309546.24</v>
      </c>
      <c r="N192" s="11">
        <f t="shared" si="40"/>
        <v>3309546.24</v>
      </c>
      <c r="O192" s="11">
        <f t="shared" si="41"/>
        <v>3401436.6850000001</v>
      </c>
      <c r="P192" s="12">
        <f>IF(AND(C192="F",M192&lt;O192,SUMIFS(Категории!$Z$5:$Z$11,Категории!$A$5:$A$11,B192)=1),1,0)</f>
        <v>0</v>
      </c>
      <c r="Q192" s="11">
        <f t="shared" si="42"/>
        <v>0</v>
      </c>
      <c r="R192" s="10">
        <f>IF(AND(P192=1,SUMIFS(Категории!$AA$5:$AA$11,Категории!$A$5:$A$11,B192)&gt;0),Q192/SUMIFS(Категории!$AA$5:$AA$11,Категории!$A$5:$A$11,B192),0)</f>
        <v>0</v>
      </c>
      <c r="S192" s="11">
        <f>R192*SUMIFS(Категории!$AB$5:$AB$11,Категории!$A$5:$A$11,B192)</f>
        <v>0</v>
      </c>
      <c r="T192" s="11">
        <f t="shared" si="43"/>
        <v>0</v>
      </c>
      <c r="U192" s="11">
        <f t="shared" si="44"/>
        <v>0</v>
      </c>
      <c r="V192" s="11">
        <f t="shared" si="45"/>
        <v>0</v>
      </c>
      <c r="W192" s="12">
        <f>IF(AND(C192="F",M192&lt;O192,SUMIFS(Категории!$AH$5:$AH$11,Категории!$A$5:$A$11,B192)=1),1,0)</f>
        <v>0</v>
      </c>
      <c r="X192" s="11">
        <f t="shared" si="46"/>
        <v>0</v>
      </c>
      <c r="Y192" s="10">
        <f>IF(AND(W192=1,SUMIFS(Категории!$AI$5:$AI$11,Категории!$A$5:$A$11,B192)&gt;0),X192/SUMIFS(Категории!$AI$5:$AI$11,Категории!$A$5:$A$11,B192),0)</f>
        <v>0</v>
      </c>
      <c r="Z192" s="11">
        <f>Y192*SUMIFS(Категории!$AJ$5:$AJ$11,Категории!$A$5:$A$11,B192)</f>
        <v>0</v>
      </c>
      <c r="AA192" s="11">
        <f t="shared" si="47"/>
        <v>0</v>
      </c>
      <c r="AB192" s="11">
        <f t="shared" si="48"/>
        <v>0</v>
      </c>
      <c r="AC192" s="11">
        <f t="shared" si="49"/>
        <v>0</v>
      </c>
      <c r="AD192" s="12">
        <f t="shared" si="50"/>
        <v>12</v>
      </c>
      <c r="AE192" s="12">
        <f t="shared" si="51"/>
        <v>26</v>
      </c>
      <c r="AF192" s="12">
        <f t="shared" si="52"/>
        <v>6</v>
      </c>
      <c r="AG192" s="12">
        <f t="shared" si="53"/>
        <v>13</v>
      </c>
    </row>
    <row r="193" spans="1:33" x14ac:dyDescent="0.3">
      <c r="A193" s="8" t="s">
        <v>256</v>
      </c>
      <c r="B193" s="8" t="s">
        <v>254</v>
      </c>
      <c r="C193" s="8" t="s">
        <v>66</v>
      </c>
      <c r="D193" s="9">
        <v>2332000</v>
      </c>
      <c r="E193" s="9">
        <v>303160</v>
      </c>
      <c r="F193" s="8">
        <v>4</v>
      </c>
      <c r="G193" s="8">
        <v>8</v>
      </c>
      <c r="H193" s="8">
        <v>1</v>
      </c>
      <c r="I193" s="8">
        <v>12</v>
      </c>
      <c r="J193" s="10">
        <f t="shared" si="36"/>
        <v>1</v>
      </c>
      <c r="K193" s="11">
        <f t="shared" si="37"/>
        <v>2332000</v>
      </c>
      <c r="L193" s="11">
        <f t="shared" si="38"/>
        <v>303160</v>
      </c>
      <c r="M193" s="11">
        <f t="shared" si="39"/>
        <v>2635160</v>
      </c>
      <c r="N193" s="11">
        <f t="shared" si="40"/>
        <v>2635160</v>
      </c>
      <c r="O193" s="11">
        <f t="shared" si="41"/>
        <v>3401436.6850000001</v>
      </c>
      <c r="P193" s="12">
        <f>IF(AND(C193="F",M193&lt;O193,SUMIFS(Категории!$Z$5:$Z$11,Категории!$A$5:$A$11,B193)=1),1,0)</f>
        <v>1</v>
      </c>
      <c r="Q193" s="11">
        <f t="shared" si="42"/>
        <v>766276.68500000006</v>
      </c>
      <c r="R193" s="10">
        <f>IF(AND(P193=1,SUMIFS(Категории!$AA$5:$AA$11,Категории!$A$5:$A$11,B193)&gt;0),Q193/SUMIFS(Категории!$AA$5:$AA$11,Категории!$A$5:$A$11,B193),0)</f>
        <v>0.19767923297886583</v>
      </c>
      <c r="S193" s="11">
        <f>R193*SUMIFS(Категории!$AB$5:$AB$11,Категории!$A$5:$A$11,B193)</f>
        <v>509369.18768730573</v>
      </c>
      <c r="T193" s="11">
        <f t="shared" si="43"/>
        <v>509369.18768730573</v>
      </c>
      <c r="U193" s="11">
        <f t="shared" si="44"/>
        <v>152810.7563061917</v>
      </c>
      <c r="V193" s="11">
        <f t="shared" si="45"/>
        <v>662179.94399349741</v>
      </c>
      <c r="W193" s="12">
        <f>IF(AND(C193="F",M193&lt;O193,SUMIFS(Категории!$AH$5:$AH$11,Категории!$A$5:$A$11,B193)=1),1,0)</f>
        <v>1</v>
      </c>
      <c r="X193" s="11">
        <f t="shared" si="46"/>
        <v>766276.68500000006</v>
      </c>
      <c r="Y193" s="10">
        <f>IF(AND(W193=1,SUMIFS(Категории!$AI$5:$AI$11,Категории!$A$5:$A$11,B193)&gt;0),X193/SUMIFS(Категории!$AI$5:$AI$11,Категории!$A$5:$A$11,B193),0)</f>
        <v>0.19767923297886583</v>
      </c>
      <c r="Z193" s="11">
        <f>Y193*SUMIFS(Категории!$AJ$5:$AJ$11,Категории!$A$5:$A$11,B193)</f>
        <v>988328.27591535018</v>
      </c>
      <c r="AA193" s="11">
        <f t="shared" si="47"/>
        <v>988328.27591535018</v>
      </c>
      <c r="AB193" s="11">
        <f t="shared" si="48"/>
        <v>245640.56966321787</v>
      </c>
      <c r="AC193" s="11">
        <f t="shared" si="49"/>
        <v>1233968.8455785681</v>
      </c>
      <c r="AD193" s="12">
        <f t="shared" si="50"/>
        <v>3</v>
      </c>
      <c r="AE193" s="12">
        <f t="shared" si="51"/>
        <v>26</v>
      </c>
      <c r="AF193" s="12">
        <f t="shared" si="52"/>
        <v>3</v>
      </c>
      <c r="AG193" s="12">
        <f t="shared" si="53"/>
        <v>13</v>
      </c>
    </row>
    <row r="194" spans="1:33" x14ac:dyDescent="0.3">
      <c r="A194" s="8" t="s">
        <v>257</v>
      </c>
      <c r="B194" s="8" t="s">
        <v>254</v>
      </c>
      <c r="C194" s="8" t="s">
        <v>61</v>
      </c>
      <c r="D194" s="9">
        <v>2332000</v>
      </c>
      <c r="E194" s="9">
        <v>606320</v>
      </c>
      <c r="F194" s="8">
        <v>4</v>
      </c>
      <c r="G194" s="8">
        <v>8</v>
      </c>
      <c r="H194" s="8">
        <v>1</v>
      </c>
      <c r="I194" s="8">
        <v>12</v>
      </c>
      <c r="J194" s="10">
        <f t="shared" si="36"/>
        <v>1</v>
      </c>
      <c r="K194" s="11">
        <f t="shared" si="37"/>
        <v>2332000</v>
      </c>
      <c r="L194" s="11">
        <f t="shared" si="38"/>
        <v>606320</v>
      </c>
      <c r="M194" s="11">
        <f t="shared" si="39"/>
        <v>2938320</v>
      </c>
      <c r="N194" s="11">
        <f t="shared" si="40"/>
        <v>2938320</v>
      </c>
      <c r="O194" s="11">
        <f t="shared" si="41"/>
        <v>3401436.6850000001</v>
      </c>
      <c r="P194" s="12">
        <f>IF(AND(C194="F",M194&lt;O194,SUMIFS(Категории!$Z$5:$Z$11,Категории!$A$5:$A$11,B194)=1),1,0)</f>
        <v>0</v>
      </c>
      <c r="Q194" s="11">
        <f t="shared" si="42"/>
        <v>0</v>
      </c>
      <c r="R194" s="10">
        <f>IF(AND(P194=1,SUMIFS(Категории!$AA$5:$AA$11,Категории!$A$5:$A$11,B194)&gt;0),Q194/SUMIFS(Категории!$AA$5:$AA$11,Категории!$A$5:$A$11,B194),0)</f>
        <v>0</v>
      </c>
      <c r="S194" s="11">
        <f>R194*SUMIFS(Категории!$AB$5:$AB$11,Категории!$A$5:$A$11,B194)</f>
        <v>0</v>
      </c>
      <c r="T194" s="11">
        <f t="shared" si="43"/>
        <v>0</v>
      </c>
      <c r="U194" s="11">
        <f t="shared" si="44"/>
        <v>0</v>
      </c>
      <c r="V194" s="11">
        <f t="shared" si="45"/>
        <v>0</v>
      </c>
      <c r="W194" s="12">
        <f>IF(AND(C194="F",M194&lt;O194,SUMIFS(Категории!$AH$5:$AH$11,Категории!$A$5:$A$11,B194)=1),1,0)</f>
        <v>0</v>
      </c>
      <c r="X194" s="11">
        <f t="shared" si="46"/>
        <v>0</v>
      </c>
      <c r="Y194" s="10">
        <f>IF(AND(W194=1,SUMIFS(Категории!$AI$5:$AI$11,Категории!$A$5:$A$11,B194)&gt;0),X194/SUMIFS(Категории!$AI$5:$AI$11,Категории!$A$5:$A$11,B194),0)</f>
        <v>0</v>
      </c>
      <c r="Z194" s="11">
        <f>Y194*SUMIFS(Категории!$AJ$5:$AJ$11,Категории!$A$5:$A$11,B194)</f>
        <v>0</v>
      </c>
      <c r="AA194" s="11">
        <f t="shared" si="47"/>
        <v>0</v>
      </c>
      <c r="AB194" s="11">
        <f t="shared" si="48"/>
        <v>0</v>
      </c>
      <c r="AC194" s="11">
        <f t="shared" si="49"/>
        <v>0</v>
      </c>
      <c r="AD194" s="12">
        <f t="shared" si="50"/>
        <v>7</v>
      </c>
      <c r="AE194" s="12">
        <f t="shared" si="51"/>
        <v>26</v>
      </c>
      <c r="AF194" s="12">
        <f t="shared" si="52"/>
        <v>3</v>
      </c>
      <c r="AG194" s="12">
        <f t="shared" si="53"/>
        <v>13</v>
      </c>
    </row>
    <row r="195" spans="1:33" x14ac:dyDescent="0.3">
      <c r="A195" s="8" t="s">
        <v>258</v>
      </c>
      <c r="B195" s="8" t="s">
        <v>254</v>
      </c>
      <c r="C195" s="8" t="s">
        <v>66</v>
      </c>
      <c r="D195" s="9">
        <v>2305600</v>
      </c>
      <c r="E195" s="9">
        <v>299728</v>
      </c>
      <c r="F195" s="8">
        <v>3.2</v>
      </c>
      <c r="G195" s="8">
        <v>8</v>
      </c>
      <c r="H195" s="8">
        <v>1</v>
      </c>
      <c r="I195" s="8">
        <v>12</v>
      </c>
      <c r="J195" s="10">
        <f t="shared" si="36"/>
        <v>1</v>
      </c>
      <c r="K195" s="11">
        <f t="shared" si="37"/>
        <v>2305600</v>
      </c>
      <c r="L195" s="11">
        <f t="shared" si="38"/>
        <v>299728</v>
      </c>
      <c r="M195" s="11">
        <f t="shared" si="39"/>
        <v>2605328</v>
      </c>
      <c r="N195" s="11">
        <f t="shared" si="40"/>
        <v>2605328</v>
      </c>
      <c r="O195" s="11">
        <f t="shared" si="41"/>
        <v>3401436.6850000001</v>
      </c>
      <c r="P195" s="12">
        <f>IF(AND(C195="F",M195&lt;O195,SUMIFS(Категории!$Z$5:$Z$11,Категории!$A$5:$A$11,B195)=1),1,0)</f>
        <v>1</v>
      </c>
      <c r="Q195" s="11">
        <f t="shared" si="42"/>
        <v>796108.68500000006</v>
      </c>
      <c r="R195" s="10">
        <f>IF(AND(P195=1,SUMIFS(Категории!$AA$5:$AA$11,Категории!$A$5:$A$11,B195)&gt;0),Q195/SUMIFS(Категории!$AA$5:$AA$11,Категории!$A$5:$A$11,B195),0)</f>
        <v>0.20537510444887605</v>
      </c>
      <c r="S195" s="11">
        <f>R195*SUMIFS(Категории!$AB$5:$AB$11,Категории!$A$5:$A$11,B195)</f>
        <v>529199.49429135909</v>
      </c>
      <c r="T195" s="11">
        <f t="shared" si="43"/>
        <v>529199.49429135909</v>
      </c>
      <c r="U195" s="11">
        <f t="shared" si="44"/>
        <v>158759.84828740772</v>
      </c>
      <c r="V195" s="11">
        <f t="shared" si="45"/>
        <v>687959.34257876687</v>
      </c>
      <c r="W195" s="12">
        <f>IF(AND(C195="F",M195&lt;O195,SUMIFS(Категории!$AH$5:$AH$11,Категории!$A$5:$A$11,B195)=1),1,0)</f>
        <v>1</v>
      </c>
      <c r="X195" s="11">
        <f t="shared" si="46"/>
        <v>796108.68500000006</v>
      </c>
      <c r="Y195" s="10">
        <f>IF(AND(W195=1,SUMIFS(Категории!$AI$5:$AI$11,Категории!$A$5:$A$11,B195)&gt;0),X195/SUMIFS(Категории!$AI$5:$AI$11,Категории!$A$5:$A$11,B195),0)</f>
        <v>0.20537510444887605</v>
      </c>
      <c r="Z195" s="11">
        <f>Y195*SUMIFS(Категории!$AJ$5:$AJ$11,Категории!$A$5:$A$11,B195)</f>
        <v>1026804.9902722625</v>
      </c>
      <c r="AA195" s="11">
        <f t="shared" si="47"/>
        <v>1026804.9902722625</v>
      </c>
      <c r="AB195" s="11">
        <f t="shared" si="48"/>
        <v>255384.15353111163</v>
      </c>
      <c r="AC195" s="11">
        <f t="shared" si="49"/>
        <v>1282189.1438033741</v>
      </c>
      <c r="AD195" s="12">
        <f t="shared" si="50"/>
        <v>2</v>
      </c>
      <c r="AE195" s="12">
        <f t="shared" si="51"/>
        <v>26</v>
      </c>
      <c r="AF195" s="12">
        <f t="shared" si="52"/>
        <v>2</v>
      </c>
      <c r="AG195" s="12">
        <f t="shared" si="53"/>
        <v>13</v>
      </c>
    </row>
    <row r="196" spans="1:33" x14ac:dyDescent="0.3">
      <c r="A196" s="8" t="s">
        <v>259</v>
      </c>
      <c r="B196" s="8" t="s">
        <v>254</v>
      </c>
      <c r="C196" s="8" t="s">
        <v>61</v>
      </c>
      <c r="D196" s="9">
        <v>2305600</v>
      </c>
      <c r="E196" s="9">
        <v>599456</v>
      </c>
      <c r="F196" s="8">
        <v>3.2</v>
      </c>
      <c r="G196" s="8">
        <v>8</v>
      </c>
      <c r="H196" s="8">
        <v>1</v>
      </c>
      <c r="I196" s="8">
        <v>12</v>
      </c>
      <c r="J196" s="10">
        <f t="shared" si="36"/>
        <v>1</v>
      </c>
      <c r="K196" s="11">
        <f t="shared" si="37"/>
        <v>2305600</v>
      </c>
      <c r="L196" s="11">
        <f t="shared" si="38"/>
        <v>599456</v>
      </c>
      <c r="M196" s="11">
        <f t="shared" si="39"/>
        <v>2905056</v>
      </c>
      <c r="N196" s="11">
        <f t="shared" si="40"/>
        <v>2905056</v>
      </c>
      <c r="O196" s="11">
        <f t="shared" si="41"/>
        <v>3401436.6850000001</v>
      </c>
      <c r="P196" s="12">
        <f>IF(AND(C196="F",M196&lt;O196,SUMIFS(Категории!$Z$5:$Z$11,Категории!$A$5:$A$11,B196)=1),1,0)</f>
        <v>0</v>
      </c>
      <c r="Q196" s="11">
        <f t="shared" si="42"/>
        <v>0</v>
      </c>
      <c r="R196" s="10">
        <f>IF(AND(P196=1,SUMIFS(Категории!$AA$5:$AA$11,Категории!$A$5:$A$11,B196)&gt;0),Q196/SUMIFS(Категории!$AA$5:$AA$11,Категории!$A$5:$A$11,B196),0)</f>
        <v>0</v>
      </c>
      <c r="S196" s="11">
        <f>R196*SUMIFS(Категории!$AB$5:$AB$11,Категории!$A$5:$A$11,B196)</f>
        <v>0</v>
      </c>
      <c r="T196" s="11">
        <f t="shared" si="43"/>
        <v>0</v>
      </c>
      <c r="U196" s="11">
        <f t="shared" si="44"/>
        <v>0</v>
      </c>
      <c r="V196" s="11">
        <f t="shared" si="45"/>
        <v>0</v>
      </c>
      <c r="W196" s="12">
        <f>IF(AND(C196="F",M196&lt;O196,SUMIFS(Категории!$AH$5:$AH$11,Категории!$A$5:$A$11,B196)=1),1,0)</f>
        <v>0</v>
      </c>
      <c r="X196" s="11">
        <f t="shared" si="46"/>
        <v>0</v>
      </c>
      <c r="Y196" s="10">
        <f>IF(AND(W196=1,SUMIFS(Категории!$AI$5:$AI$11,Категории!$A$5:$A$11,B196)&gt;0),X196/SUMIFS(Категории!$AI$5:$AI$11,Категории!$A$5:$A$11,B196),0)</f>
        <v>0</v>
      </c>
      <c r="Z196" s="11">
        <f>Y196*SUMIFS(Категории!$AJ$5:$AJ$11,Категории!$A$5:$A$11,B196)</f>
        <v>0</v>
      </c>
      <c r="AA196" s="11">
        <f t="shared" si="47"/>
        <v>0</v>
      </c>
      <c r="AB196" s="11">
        <f t="shared" si="48"/>
        <v>0</v>
      </c>
      <c r="AC196" s="11">
        <f t="shared" si="49"/>
        <v>0</v>
      </c>
      <c r="AD196" s="12">
        <f t="shared" si="50"/>
        <v>6</v>
      </c>
      <c r="AE196" s="12">
        <f t="shared" si="51"/>
        <v>26</v>
      </c>
      <c r="AF196" s="12">
        <f t="shared" si="52"/>
        <v>2</v>
      </c>
      <c r="AG196" s="12">
        <f t="shared" si="53"/>
        <v>13</v>
      </c>
    </row>
    <row r="197" spans="1:33" x14ac:dyDescent="0.3">
      <c r="A197" s="8" t="s">
        <v>260</v>
      </c>
      <c r="B197" s="8" t="s">
        <v>254</v>
      </c>
      <c r="C197" s="8" t="s">
        <v>66</v>
      </c>
      <c r="D197" s="9">
        <v>3053585.92</v>
      </c>
      <c r="E197" s="9">
        <v>396966.17</v>
      </c>
      <c r="F197" s="8">
        <v>7.1</v>
      </c>
      <c r="G197" s="8">
        <v>10</v>
      </c>
      <c r="H197" s="8">
        <v>1</v>
      </c>
      <c r="I197" s="8">
        <v>12</v>
      </c>
      <c r="J197" s="10">
        <f t="shared" ref="J197:J260" si="54">H197*(I197/12)</f>
        <v>1</v>
      </c>
      <c r="K197" s="11">
        <f t="shared" ref="K197:K260" si="55">D197/J197</f>
        <v>3053585.92</v>
      </c>
      <c r="L197" s="11">
        <f t="shared" ref="L197:L216" si="56">E197/J197</f>
        <v>396966.17</v>
      </c>
      <c r="M197" s="11">
        <f t="shared" ref="M197:M260" si="57">K197+L197</f>
        <v>3450552.09</v>
      </c>
      <c r="N197" s="11">
        <f t="shared" ref="N197:N216" si="58">D197+E197</f>
        <v>3450552.09</v>
      </c>
      <c r="O197" s="11">
        <f t="shared" ref="O197:O216" si="59">(SUMIFS($M$5:$M$216,$B$5:$B$216,B197,$AD$5:$AD$216,INT((AE197+1)/2))+SUMIFS($M$5:$M$216,$B$5:$B$216,B197,$AD$5:$AD$216,INT(AE197/2)+1))/2</f>
        <v>3401436.6850000001</v>
      </c>
      <c r="P197" s="12">
        <f>IF(AND(C197="F",M197&lt;O197,SUMIFS(Категории!$Z$5:$Z$11,Категории!$A$5:$A$11,B197)=1),1,0)</f>
        <v>0</v>
      </c>
      <c r="Q197" s="11">
        <f t="shared" ref="Q197:Q260" si="60">IF(P197=1,O197-M197,0)</f>
        <v>0</v>
      </c>
      <c r="R197" s="10">
        <f>IF(AND(P197=1,SUMIFS(Категории!$AA$5:$AA$11,Категории!$A$5:$A$11,B197)&gt;0),Q197/SUMIFS(Категории!$AA$5:$AA$11,Категории!$A$5:$A$11,B197),0)</f>
        <v>0</v>
      </c>
      <c r="S197" s="11">
        <f>R197*SUMIFS(Категории!$AB$5:$AB$11,Категории!$A$5:$A$11,B197)</f>
        <v>0</v>
      </c>
      <c r="T197" s="11">
        <f t="shared" ref="T197:T260" si="61">S197*J197</f>
        <v>0</v>
      </c>
      <c r="U197" s="11">
        <f t="shared" ref="U197:U260" si="62">IF(T197&lt;=0,0,(rate_below/100)*MIN(T197,MAX(0,ceiling-D197))+(rate_above/100)*(T197-MIN(T197,MAX(0,ceiling-D197))))</f>
        <v>0</v>
      </c>
      <c r="V197" s="11">
        <f t="shared" ref="V197:V260" si="63">T197+U197</f>
        <v>0</v>
      </c>
      <c r="W197" s="12">
        <f>IF(AND(C197="F",M197&lt;O197,SUMIFS(Категории!$AH$5:$AH$11,Категории!$A$5:$A$11,B197)=1),1,0)</f>
        <v>0</v>
      </c>
      <c r="X197" s="11">
        <f t="shared" ref="X197:X260" si="64">IF(W197=1,O197-M197,0)</f>
        <v>0</v>
      </c>
      <c r="Y197" s="10">
        <f>IF(AND(W197=1,SUMIFS(Категории!$AI$5:$AI$11,Категории!$A$5:$A$11,B197)&gt;0),X197/SUMIFS(Категории!$AI$5:$AI$11,Категории!$A$5:$A$11,B197),0)</f>
        <v>0</v>
      </c>
      <c r="Z197" s="11">
        <f>Y197*SUMIFS(Категории!$AJ$5:$AJ$11,Категории!$A$5:$A$11,B197)</f>
        <v>0</v>
      </c>
      <c r="AA197" s="11">
        <f t="shared" ref="AA197:AA260" si="65">Z197*J197</f>
        <v>0</v>
      </c>
      <c r="AB197" s="11">
        <f t="shared" ref="AB197:AB260" si="66">IF(AA197&lt;=0,0,(rate_below/100)*MIN(AA197,MAX(0,ceiling-D197))+(rate_above/100)*(AA197-MIN(AA197,MAX(0,ceiling-D197))))</f>
        <v>0</v>
      </c>
      <c r="AC197" s="11">
        <f t="shared" ref="AC197:AC260" si="67">AA197+AB197</f>
        <v>0</v>
      </c>
      <c r="AD197" s="12">
        <f t="shared" ref="AD197:AD216" si="68">SUMPRODUCT(($B$5:$B$216=B197)*($M$5:$M$216&lt;M197))+SUMPRODUCT(($B$5:$B$216=B197)*($M$5:$M$216=M197)*(ROW($M$5:$M$216)&lt;ROW(M197)))+1</f>
        <v>14</v>
      </c>
      <c r="AE197" s="12">
        <f t="shared" ref="AE197:AE216" si="69">COUNTIF($B$5:$B$216,B197)</f>
        <v>26</v>
      </c>
      <c r="AF197" s="12">
        <f t="shared" ref="AF197:AF216" si="70">SUMPRODUCT(($B$5:$B$216=B197)*($C$5:$C$216=C197)*($M$5:$M$216&lt;M197))+SUMPRODUCT(($B$5:$B$216=B197)*($C$5:$C$216=C197)*($M$5:$M$216=M197)*(ROW($M$5:$M$216)&lt;ROW(M197)))+1</f>
        <v>8</v>
      </c>
      <c r="AG197" s="12">
        <f t="shared" ref="AG197:AG216" si="71">COUNTIFS($B$5:$B$216,B197,$C$5:$C$216,C197)</f>
        <v>13</v>
      </c>
    </row>
    <row r="198" spans="1:33" x14ac:dyDescent="0.3">
      <c r="A198" s="8" t="s">
        <v>261</v>
      </c>
      <c r="B198" s="8" t="s">
        <v>254</v>
      </c>
      <c r="C198" s="8" t="s">
        <v>61</v>
      </c>
      <c r="D198" s="9">
        <v>3053585.92</v>
      </c>
      <c r="E198" s="9">
        <v>793932.34</v>
      </c>
      <c r="F198" s="8">
        <v>7.1</v>
      </c>
      <c r="G198" s="8">
        <v>10</v>
      </c>
      <c r="H198" s="8">
        <v>1</v>
      </c>
      <c r="I198" s="8">
        <v>12</v>
      </c>
      <c r="J198" s="10">
        <f t="shared" si="54"/>
        <v>1</v>
      </c>
      <c r="K198" s="11">
        <f t="shared" si="55"/>
        <v>3053585.92</v>
      </c>
      <c r="L198" s="11">
        <f t="shared" si="56"/>
        <v>793932.34</v>
      </c>
      <c r="M198" s="11">
        <f t="shared" si="57"/>
        <v>3847518.26</v>
      </c>
      <c r="N198" s="11">
        <f t="shared" si="58"/>
        <v>3847518.26</v>
      </c>
      <c r="O198" s="11">
        <f t="shared" si="59"/>
        <v>3401436.6850000001</v>
      </c>
      <c r="P198" s="12">
        <f>IF(AND(C198="F",M198&lt;O198,SUMIFS(Категории!$Z$5:$Z$11,Категории!$A$5:$A$11,B198)=1),1,0)</f>
        <v>0</v>
      </c>
      <c r="Q198" s="11">
        <f t="shared" si="60"/>
        <v>0</v>
      </c>
      <c r="R198" s="10">
        <f>IF(AND(P198=1,SUMIFS(Категории!$AA$5:$AA$11,Категории!$A$5:$A$11,B198)&gt;0),Q198/SUMIFS(Категории!$AA$5:$AA$11,Категории!$A$5:$A$11,B198),0)</f>
        <v>0</v>
      </c>
      <c r="S198" s="11">
        <f>R198*SUMIFS(Категории!$AB$5:$AB$11,Категории!$A$5:$A$11,B198)</f>
        <v>0</v>
      </c>
      <c r="T198" s="11">
        <f t="shared" si="61"/>
        <v>0</v>
      </c>
      <c r="U198" s="11">
        <f t="shared" si="62"/>
        <v>0</v>
      </c>
      <c r="V198" s="11">
        <f t="shared" si="63"/>
        <v>0</v>
      </c>
      <c r="W198" s="12">
        <f>IF(AND(C198="F",M198&lt;O198,SUMIFS(Категории!$AH$5:$AH$11,Категории!$A$5:$A$11,B198)=1),1,0)</f>
        <v>0</v>
      </c>
      <c r="X198" s="11">
        <f t="shared" si="64"/>
        <v>0</v>
      </c>
      <c r="Y198" s="10">
        <f>IF(AND(W198=1,SUMIFS(Категории!$AI$5:$AI$11,Категории!$A$5:$A$11,B198)&gt;0),X198/SUMIFS(Категории!$AI$5:$AI$11,Категории!$A$5:$A$11,B198),0)</f>
        <v>0</v>
      </c>
      <c r="Z198" s="11">
        <f>Y198*SUMIFS(Категории!$AJ$5:$AJ$11,Категории!$A$5:$A$11,B198)</f>
        <v>0</v>
      </c>
      <c r="AA198" s="11">
        <f t="shared" si="65"/>
        <v>0</v>
      </c>
      <c r="AB198" s="11">
        <f t="shared" si="66"/>
        <v>0</v>
      </c>
      <c r="AC198" s="11">
        <f t="shared" si="67"/>
        <v>0</v>
      </c>
      <c r="AD198" s="12">
        <f t="shared" si="68"/>
        <v>17</v>
      </c>
      <c r="AE198" s="12">
        <f t="shared" si="69"/>
        <v>26</v>
      </c>
      <c r="AF198" s="12">
        <f t="shared" si="70"/>
        <v>8</v>
      </c>
      <c r="AG198" s="12">
        <f t="shared" si="71"/>
        <v>13</v>
      </c>
    </row>
    <row r="199" spans="1:33" x14ac:dyDescent="0.3">
      <c r="A199" s="8" t="s">
        <v>262</v>
      </c>
      <c r="B199" s="8" t="s">
        <v>254</v>
      </c>
      <c r="C199" s="8" t="s">
        <v>66</v>
      </c>
      <c r="D199" s="9">
        <v>3642556.83</v>
      </c>
      <c r="E199" s="9">
        <v>473532.39</v>
      </c>
      <c r="F199" s="8">
        <v>11.9</v>
      </c>
      <c r="G199" s="8">
        <v>11</v>
      </c>
      <c r="H199" s="8">
        <v>1</v>
      </c>
      <c r="I199" s="8">
        <v>12</v>
      </c>
      <c r="J199" s="10">
        <f t="shared" si="54"/>
        <v>1</v>
      </c>
      <c r="K199" s="11">
        <f t="shared" si="55"/>
        <v>3642556.83</v>
      </c>
      <c r="L199" s="11">
        <f t="shared" si="56"/>
        <v>473532.39</v>
      </c>
      <c r="M199" s="11">
        <f t="shared" si="57"/>
        <v>4116089.22</v>
      </c>
      <c r="N199" s="11">
        <f t="shared" si="58"/>
        <v>4116089.22</v>
      </c>
      <c r="O199" s="11">
        <f t="shared" si="59"/>
        <v>3401436.6850000001</v>
      </c>
      <c r="P199" s="12">
        <f>IF(AND(C199="F",M199&lt;O199,SUMIFS(Категории!$Z$5:$Z$11,Категории!$A$5:$A$11,B199)=1),1,0)</f>
        <v>0</v>
      </c>
      <c r="Q199" s="11">
        <f t="shared" si="60"/>
        <v>0</v>
      </c>
      <c r="R199" s="10">
        <f>IF(AND(P199=1,SUMIFS(Категории!$AA$5:$AA$11,Категории!$A$5:$A$11,B199)&gt;0),Q199/SUMIFS(Категории!$AA$5:$AA$11,Категории!$A$5:$A$11,B199),0)</f>
        <v>0</v>
      </c>
      <c r="S199" s="11">
        <f>R199*SUMIFS(Категории!$AB$5:$AB$11,Категории!$A$5:$A$11,B199)</f>
        <v>0</v>
      </c>
      <c r="T199" s="11">
        <f t="shared" si="61"/>
        <v>0</v>
      </c>
      <c r="U199" s="11">
        <f t="shared" si="62"/>
        <v>0</v>
      </c>
      <c r="V199" s="11">
        <f t="shared" si="63"/>
        <v>0</v>
      </c>
      <c r="W199" s="12">
        <f>IF(AND(C199="F",M199&lt;O199,SUMIFS(Категории!$AH$5:$AH$11,Категории!$A$5:$A$11,B199)=1),1,0)</f>
        <v>0</v>
      </c>
      <c r="X199" s="11">
        <f t="shared" si="64"/>
        <v>0</v>
      </c>
      <c r="Y199" s="10">
        <f>IF(AND(W199=1,SUMIFS(Категории!$AI$5:$AI$11,Категории!$A$5:$A$11,B199)&gt;0),X199/SUMIFS(Категории!$AI$5:$AI$11,Категории!$A$5:$A$11,B199),0)</f>
        <v>0</v>
      </c>
      <c r="Z199" s="11">
        <f>Y199*SUMIFS(Категории!$AJ$5:$AJ$11,Категории!$A$5:$A$11,B199)</f>
        <v>0</v>
      </c>
      <c r="AA199" s="11">
        <f t="shared" si="65"/>
        <v>0</v>
      </c>
      <c r="AB199" s="11">
        <f t="shared" si="66"/>
        <v>0</v>
      </c>
      <c r="AC199" s="11">
        <f t="shared" si="67"/>
        <v>0</v>
      </c>
      <c r="AD199" s="12">
        <f t="shared" si="68"/>
        <v>20</v>
      </c>
      <c r="AE199" s="12">
        <f t="shared" si="69"/>
        <v>26</v>
      </c>
      <c r="AF199" s="12">
        <f t="shared" si="70"/>
        <v>11</v>
      </c>
      <c r="AG199" s="12">
        <f t="shared" si="71"/>
        <v>13</v>
      </c>
    </row>
    <row r="200" spans="1:33" x14ac:dyDescent="0.3">
      <c r="A200" s="8" t="s">
        <v>263</v>
      </c>
      <c r="B200" s="8" t="s">
        <v>254</v>
      </c>
      <c r="C200" s="8" t="s">
        <v>61</v>
      </c>
      <c r="D200" s="9">
        <v>3642556.83</v>
      </c>
      <c r="E200" s="9">
        <v>947064.77</v>
      </c>
      <c r="F200" s="8">
        <v>11.9</v>
      </c>
      <c r="G200" s="8">
        <v>11</v>
      </c>
      <c r="H200" s="8">
        <v>1</v>
      </c>
      <c r="I200" s="8">
        <v>12</v>
      </c>
      <c r="J200" s="10">
        <f t="shared" si="54"/>
        <v>1</v>
      </c>
      <c r="K200" s="11">
        <f t="shared" si="55"/>
        <v>3642556.83</v>
      </c>
      <c r="L200" s="11">
        <f t="shared" si="56"/>
        <v>947064.77</v>
      </c>
      <c r="M200" s="11">
        <f t="shared" si="57"/>
        <v>4589621.5999999996</v>
      </c>
      <c r="N200" s="11">
        <f t="shared" si="58"/>
        <v>4589621.5999999996</v>
      </c>
      <c r="O200" s="11">
        <f t="shared" si="59"/>
        <v>3401436.6850000001</v>
      </c>
      <c r="P200" s="12">
        <f>IF(AND(C200="F",M200&lt;O200,SUMIFS(Категории!$Z$5:$Z$11,Категории!$A$5:$A$11,B200)=1),1,0)</f>
        <v>0</v>
      </c>
      <c r="Q200" s="11">
        <f t="shared" si="60"/>
        <v>0</v>
      </c>
      <c r="R200" s="10">
        <f>IF(AND(P200=1,SUMIFS(Категории!$AA$5:$AA$11,Категории!$A$5:$A$11,B200)&gt;0),Q200/SUMIFS(Категории!$AA$5:$AA$11,Категории!$A$5:$A$11,B200),0)</f>
        <v>0</v>
      </c>
      <c r="S200" s="11">
        <f>R200*SUMIFS(Категории!$AB$5:$AB$11,Категории!$A$5:$A$11,B200)</f>
        <v>0</v>
      </c>
      <c r="T200" s="11">
        <f t="shared" si="61"/>
        <v>0</v>
      </c>
      <c r="U200" s="11">
        <f t="shared" si="62"/>
        <v>0</v>
      </c>
      <c r="V200" s="11">
        <f t="shared" si="63"/>
        <v>0</v>
      </c>
      <c r="W200" s="12">
        <f>IF(AND(C200="F",M200&lt;O200,SUMIFS(Категории!$AH$5:$AH$11,Категории!$A$5:$A$11,B200)=1),1,0)</f>
        <v>0</v>
      </c>
      <c r="X200" s="11">
        <f t="shared" si="64"/>
        <v>0</v>
      </c>
      <c r="Y200" s="10">
        <f>IF(AND(W200=1,SUMIFS(Категории!$AI$5:$AI$11,Категории!$A$5:$A$11,B200)&gt;0),X200/SUMIFS(Категории!$AI$5:$AI$11,Категории!$A$5:$A$11,B200),0)</f>
        <v>0</v>
      </c>
      <c r="Z200" s="11">
        <f>Y200*SUMIFS(Категории!$AJ$5:$AJ$11,Категории!$A$5:$A$11,B200)</f>
        <v>0</v>
      </c>
      <c r="AA200" s="11">
        <f t="shared" si="65"/>
        <v>0</v>
      </c>
      <c r="AB200" s="11">
        <f t="shared" si="66"/>
        <v>0</v>
      </c>
      <c r="AC200" s="11">
        <f t="shared" si="67"/>
        <v>0</v>
      </c>
      <c r="AD200" s="12">
        <f t="shared" si="68"/>
        <v>24</v>
      </c>
      <c r="AE200" s="12">
        <f t="shared" si="69"/>
        <v>26</v>
      </c>
      <c r="AF200" s="12">
        <f t="shared" si="70"/>
        <v>11</v>
      </c>
      <c r="AG200" s="12">
        <f t="shared" si="71"/>
        <v>13</v>
      </c>
    </row>
    <row r="201" spans="1:33" x14ac:dyDescent="0.3">
      <c r="A201" s="8" t="s">
        <v>264</v>
      </c>
      <c r="B201" s="8" t="s">
        <v>254</v>
      </c>
      <c r="C201" s="8" t="s">
        <v>66</v>
      </c>
      <c r="D201" s="9">
        <v>2552704</v>
      </c>
      <c r="E201" s="9">
        <v>331851.52000000002</v>
      </c>
      <c r="F201" s="8">
        <v>2.4</v>
      </c>
      <c r="G201" s="8">
        <v>9</v>
      </c>
      <c r="H201" s="8">
        <v>1</v>
      </c>
      <c r="I201" s="8">
        <v>12</v>
      </c>
      <c r="J201" s="10">
        <f t="shared" si="54"/>
        <v>1</v>
      </c>
      <c r="K201" s="11">
        <f t="shared" si="55"/>
        <v>2552704</v>
      </c>
      <c r="L201" s="11">
        <f t="shared" si="56"/>
        <v>331851.52000000002</v>
      </c>
      <c r="M201" s="11">
        <f t="shared" si="57"/>
        <v>2884555.52</v>
      </c>
      <c r="N201" s="11">
        <f t="shared" si="58"/>
        <v>2884555.52</v>
      </c>
      <c r="O201" s="11">
        <f t="shared" si="59"/>
        <v>3401436.6850000001</v>
      </c>
      <c r="P201" s="12">
        <f>IF(AND(C201="F",M201&lt;O201,SUMIFS(Категории!$Z$5:$Z$11,Категории!$A$5:$A$11,B201)=1),1,0)</f>
        <v>1</v>
      </c>
      <c r="Q201" s="11">
        <f t="shared" si="60"/>
        <v>516881.16500000004</v>
      </c>
      <c r="R201" s="10">
        <f>IF(AND(P201=1,SUMIFS(Категории!$AA$5:$AA$11,Категории!$A$5:$A$11,B201)&gt;0),Q201/SUMIFS(Категории!$AA$5:$AA$11,Категории!$A$5:$A$11,B201),0)</f>
        <v>0.13334174748958019</v>
      </c>
      <c r="S201" s="11">
        <f>R201*SUMIFS(Категории!$AB$5:$AB$11,Категории!$A$5:$A$11,B201)</f>
        <v>343587.82447741862</v>
      </c>
      <c r="T201" s="11">
        <f t="shared" si="61"/>
        <v>343587.82447741862</v>
      </c>
      <c r="U201" s="11">
        <f t="shared" si="62"/>
        <v>103076.34734322559</v>
      </c>
      <c r="V201" s="11">
        <f t="shared" si="63"/>
        <v>446664.17182064417</v>
      </c>
      <c r="W201" s="12">
        <f>IF(AND(C201="F",M201&lt;O201,SUMIFS(Категории!$AH$5:$AH$11,Категории!$A$5:$A$11,B201)=1),1,0)</f>
        <v>1</v>
      </c>
      <c r="X201" s="11">
        <f t="shared" si="64"/>
        <v>516881.16500000004</v>
      </c>
      <c r="Y201" s="10">
        <f>IF(AND(W201=1,SUMIFS(Категории!$AI$5:$AI$11,Категории!$A$5:$A$11,B201)&gt;0),X201/SUMIFS(Категории!$AI$5:$AI$11,Категории!$A$5:$A$11,B201),0)</f>
        <v>0.13334174748958019</v>
      </c>
      <c r="Z201" s="11">
        <f>Y201*SUMIFS(Категории!$AJ$5:$AJ$11,Категории!$A$5:$A$11,B201)</f>
        <v>666662.94389156264</v>
      </c>
      <c r="AA201" s="11">
        <f t="shared" si="65"/>
        <v>666662.94389156264</v>
      </c>
      <c r="AB201" s="11">
        <f t="shared" si="66"/>
        <v>164184.20852762595</v>
      </c>
      <c r="AC201" s="11">
        <f t="shared" si="67"/>
        <v>830847.15241918853</v>
      </c>
      <c r="AD201" s="12">
        <f t="shared" si="68"/>
        <v>5</v>
      </c>
      <c r="AE201" s="12">
        <f t="shared" si="69"/>
        <v>26</v>
      </c>
      <c r="AF201" s="12">
        <f t="shared" si="70"/>
        <v>4</v>
      </c>
      <c r="AG201" s="12">
        <f t="shared" si="71"/>
        <v>13</v>
      </c>
    </row>
    <row r="202" spans="1:33" x14ac:dyDescent="0.3">
      <c r="A202" s="8" t="s">
        <v>265</v>
      </c>
      <c r="B202" s="8" t="s">
        <v>254</v>
      </c>
      <c r="C202" s="8" t="s">
        <v>61</v>
      </c>
      <c r="D202" s="9">
        <v>2552704</v>
      </c>
      <c r="E202" s="9">
        <v>663703.04000000004</v>
      </c>
      <c r="F202" s="8">
        <v>2.4</v>
      </c>
      <c r="G202" s="8">
        <v>9</v>
      </c>
      <c r="H202" s="8">
        <v>1</v>
      </c>
      <c r="I202" s="8">
        <v>12</v>
      </c>
      <c r="J202" s="10">
        <f t="shared" si="54"/>
        <v>1</v>
      </c>
      <c r="K202" s="11">
        <f t="shared" si="55"/>
        <v>2552704</v>
      </c>
      <c r="L202" s="11">
        <f t="shared" si="56"/>
        <v>663703.04000000004</v>
      </c>
      <c r="M202" s="11">
        <f t="shared" si="57"/>
        <v>3216407.04</v>
      </c>
      <c r="N202" s="11">
        <f t="shared" si="58"/>
        <v>3216407.04</v>
      </c>
      <c r="O202" s="11">
        <f t="shared" si="59"/>
        <v>3401436.6850000001</v>
      </c>
      <c r="P202" s="12">
        <f>IF(AND(C202="F",M202&lt;O202,SUMIFS(Категории!$Z$5:$Z$11,Категории!$A$5:$A$11,B202)=1),1,0)</f>
        <v>0</v>
      </c>
      <c r="Q202" s="11">
        <f t="shared" si="60"/>
        <v>0</v>
      </c>
      <c r="R202" s="10">
        <f>IF(AND(P202=1,SUMIFS(Категории!$AA$5:$AA$11,Категории!$A$5:$A$11,B202)&gt;0),Q202/SUMIFS(Категории!$AA$5:$AA$11,Категории!$A$5:$A$11,B202),0)</f>
        <v>0</v>
      </c>
      <c r="S202" s="11">
        <f>R202*SUMIFS(Категории!$AB$5:$AB$11,Категории!$A$5:$A$11,B202)</f>
        <v>0</v>
      </c>
      <c r="T202" s="11">
        <f t="shared" si="61"/>
        <v>0</v>
      </c>
      <c r="U202" s="11">
        <f t="shared" si="62"/>
        <v>0</v>
      </c>
      <c r="V202" s="11">
        <f t="shared" si="63"/>
        <v>0</v>
      </c>
      <c r="W202" s="12">
        <f>IF(AND(C202="F",M202&lt;O202,SUMIFS(Категории!$AH$5:$AH$11,Категории!$A$5:$A$11,B202)=1),1,0)</f>
        <v>0</v>
      </c>
      <c r="X202" s="11">
        <f t="shared" si="64"/>
        <v>0</v>
      </c>
      <c r="Y202" s="10">
        <f>IF(AND(W202=1,SUMIFS(Категории!$AI$5:$AI$11,Категории!$A$5:$A$11,B202)&gt;0),X202/SUMIFS(Категории!$AI$5:$AI$11,Категории!$A$5:$A$11,B202),0)</f>
        <v>0</v>
      </c>
      <c r="Z202" s="11">
        <f>Y202*SUMIFS(Категории!$AJ$5:$AJ$11,Категории!$A$5:$A$11,B202)</f>
        <v>0</v>
      </c>
      <c r="AA202" s="11">
        <f t="shared" si="65"/>
        <v>0</v>
      </c>
      <c r="AB202" s="11">
        <f t="shared" si="66"/>
        <v>0</v>
      </c>
      <c r="AC202" s="11">
        <f t="shared" si="67"/>
        <v>0</v>
      </c>
      <c r="AD202" s="12">
        <f t="shared" si="68"/>
        <v>10</v>
      </c>
      <c r="AE202" s="12">
        <f t="shared" si="69"/>
        <v>26</v>
      </c>
      <c r="AF202" s="12">
        <f t="shared" si="70"/>
        <v>4</v>
      </c>
      <c r="AG202" s="12">
        <f t="shared" si="71"/>
        <v>13</v>
      </c>
    </row>
    <row r="203" spans="1:33" x14ac:dyDescent="0.3">
      <c r="A203" s="8" t="s">
        <v>266</v>
      </c>
      <c r="B203" s="8" t="s">
        <v>254</v>
      </c>
      <c r="C203" s="8" t="s">
        <v>66</v>
      </c>
      <c r="D203" s="9">
        <v>2256100</v>
      </c>
      <c r="E203" s="9">
        <v>293293</v>
      </c>
      <c r="F203" s="8">
        <v>1.7</v>
      </c>
      <c r="G203" s="8">
        <v>8</v>
      </c>
      <c r="H203" s="8">
        <v>1</v>
      </c>
      <c r="I203" s="8">
        <v>12</v>
      </c>
      <c r="J203" s="10">
        <f t="shared" si="54"/>
        <v>1</v>
      </c>
      <c r="K203" s="11">
        <f t="shared" si="55"/>
        <v>2256100</v>
      </c>
      <c r="L203" s="11">
        <f t="shared" si="56"/>
        <v>293293</v>
      </c>
      <c r="M203" s="11">
        <f t="shared" si="57"/>
        <v>2549393</v>
      </c>
      <c r="N203" s="11">
        <f t="shared" si="58"/>
        <v>2549393</v>
      </c>
      <c r="O203" s="11">
        <f t="shared" si="59"/>
        <v>3401436.6850000001</v>
      </c>
      <c r="P203" s="12">
        <f>IF(AND(C203="F",M203&lt;O203,SUMIFS(Категории!$Z$5:$Z$11,Категории!$A$5:$A$11,B203)=1),1,0)</f>
        <v>1</v>
      </c>
      <c r="Q203" s="11">
        <f t="shared" si="60"/>
        <v>852043.68500000006</v>
      </c>
      <c r="R203" s="10">
        <f>IF(AND(P203=1,SUMIFS(Категории!$AA$5:$AA$11,Категории!$A$5:$A$11,B203)&gt;0),Q203/SUMIFS(Категории!$AA$5:$AA$11,Категории!$A$5:$A$11,B203),0)</f>
        <v>0.21980486345514527</v>
      </c>
      <c r="S203" s="11">
        <f>R203*SUMIFS(Категории!$AB$5:$AB$11,Категории!$A$5:$A$11,B203)</f>
        <v>566381.31917395943</v>
      </c>
      <c r="T203" s="11">
        <f t="shared" si="61"/>
        <v>566381.31917395943</v>
      </c>
      <c r="U203" s="11">
        <f t="shared" si="62"/>
        <v>169914.39575218782</v>
      </c>
      <c r="V203" s="11">
        <f t="shared" si="63"/>
        <v>736295.71492614725</v>
      </c>
      <c r="W203" s="12">
        <f>IF(AND(C203="F",M203&lt;O203,SUMIFS(Категории!$AH$5:$AH$11,Категории!$A$5:$A$11,B203)=1),1,0)</f>
        <v>1</v>
      </c>
      <c r="X203" s="11">
        <f t="shared" si="64"/>
        <v>852043.68500000006</v>
      </c>
      <c r="Y203" s="10">
        <f>IF(AND(W203=1,SUMIFS(Категории!$AI$5:$AI$11,Категории!$A$5:$A$11,B203)&gt;0),X203/SUMIFS(Категории!$AI$5:$AI$11,Категории!$A$5:$A$11,B203),0)</f>
        <v>0.21980486345514527</v>
      </c>
      <c r="Z203" s="11">
        <f>Y203*SUMIFS(Категории!$AJ$5:$AJ$11,Категории!$A$5:$A$11,B203)</f>
        <v>1098948.8296914734</v>
      </c>
      <c r="AA203" s="11">
        <f t="shared" si="65"/>
        <v>1098948.8296914734</v>
      </c>
      <c r="AB203" s="11">
        <f t="shared" si="66"/>
        <v>273653.37328341248</v>
      </c>
      <c r="AC203" s="11">
        <f t="shared" si="67"/>
        <v>1372602.2029748859</v>
      </c>
      <c r="AD203" s="12">
        <f t="shared" si="68"/>
        <v>1</v>
      </c>
      <c r="AE203" s="12">
        <f t="shared" si="69"/>
        <v>26</v>
      </c>
      <c r="AF203" s="12">
        <f t="shared" si="70"/>
        <v>1</v>
      </c>
      <c r="AG203" s="12">
        <f t="shared" si="71"/>
        <v>13</v>
      </c>
    </row>
    <row r="204" spans="1:33" x14ac:dyDescent="0.3">
      <c r="A204" s="8" t="s">
        <v>267</v>
      </c>
      <c r="B204" s="8" t="s">
        <v>254</v>
      </c>
      <c r="C204" s="8" t="s">
        <v>61</v>
      </c>
      <c r="D204" s="9">
        <v>2256100</v>
      </c>
      <c r="E204" s="9">
        <v>586586</v>
      </c>
      <c r="F204" s="8">
        <v>1.7</v>
      </c>
      <c r="G204" s="8">
        <v>8</v>
      </c>
      <c r="H204" s="8">
        <v>1</v>
      </c>
      <c r="I204" s="8">
        <v>12</v>
      </c>
      <c r="J204" s="10">
        <f t="shared" si="54"/>
        <v>1</v>
      </c>
      <c r="K204" s="11">
        <f t="shared" si="55"/>
        <v>2256100</v>
      </c>
      <c r="L204" s="11">
        <f t="shared" si="56"/>
        <v>586586</v>
      </c>
      <c r="M204" s="11">
        <f t="shared" si="57"/>
        <v>2842686</v>
      </c>
      <c r="N204" s="11">
        <f t="shared" si="58"/>
        <v>2842686</v>
      </c>
      <c r="O204" s="11">
        <f t="shared" si="59"/>
        <v>3401436.6850000001</v>
      </c>
      <c r="P204" s="12">
        <f>IF(AND(C204="F",M204&lt;O204,SUMIFS(Категории!$Z$5:$Z$11,Категории!$A$5:$A$11,B204)=1),1,0)</f>
        <v>0</v>
      </c>
      <c r="Q204" s="11">
        <f t="shared" si="60"/>
        <v>0</v>
      </c>
      <c r="R204" s="10">
        <f>IF(AND(P204=1,SUMIFS(Категории!$AA$5:$AA$11,Категории!$A$5:$A$11,B204)&gt;0),Q204/SUMIFS(Категории!$AA$5:$AA$11,Категории!$A$5:$A$11,B204),0)</f>
        <v>0</v>
      </c>
      <c r="S204" s="11">
        <f>R204*SUMIFS(Категории!$AB$5:$AB$11,Категории!$A$5:$A$11,B204)</f>
        <v>0</v>
      </c>
      <c r="T204" s="11">
        <f t="shared" si="61"/>
        <v>0</v>
      </c>
      <c r="U204" s="11">
        <f t="shared" si="62"/>
        <v>0</v>
      </c>
      <c r="V204" s="11">
        <f t="shared" si="63"/>
        <v>0</v>
      </c>
      <c r="W204" s="12">
        <f>IF(AND(C204="F",M204&lt;O204,SUMIFS(Категории!$AH$5:$AH$11,Категории!$A$5:$A$11,B204)=1),1,0)</f>
        <v>0</v>
      </c>
      <c r="X204" s="11">
        <f t="shared" si="64"/>
        <v>0</v>
      </c>
      <c r="Y204" s="10">
        <f>IF(AND(W204=1,SUMIFS(Категории!$AI$5:$AI$11,Категории!$A$5:$A$11,B204)&gt;0),X204/SUMIFS(Категории!$AI$5:$AI$11,Категории!$A$5:$A$11,B204),0)</f>
        <v>0</v>
      </c>
      <c r="Z204" s="11">
        <f>Y204*SUMIFS(Категории!$AJ$5:$AJ$11,Категории!$A$5:$A$11,B204)</f>
        <v>0</v>
      </c>
      <c r="AA204" s="11">
        <f t="shared" si="65"/>
        <v>0</v>
      </c>
      <c r="AB204" s="11">
        <f t="shared" si="66"/>
        <v>0</v>
      </c>
      <c r="AC204" s="11">
        <f t="shared" si="67"/>
        <v>0</v>
      </c>
      <c r="AD204" s="12">
        <f t="shared" si="68"/>
        <v>4</v>
      </c>
      <c r="AE204" s="12">
        <f t="shared" si="69"/>
        <v>26</v>
      </c>
      <c r="AF204" s="12">
        <f t="shared" si="70"/>
        <v>1</v>
      </c>
      <c r="AG204" s="12">
        <f t="shared" si="71"/>
        <v>13</v>
      </c>
    </row>
    <row r="205" spans="1:33" x14ac:dyDescent="0.3">
      <c r="A205" s="8" t="s">
        <v>268</v>
      </c>
      <c r="B205" s="8" t="s">
        <v>254</v>
      </c>
      <c r="C205" s="8" t="s">
        <v>66</v>
      </c>
      <c r="D205" s="9">
        <v>3061864.96</v>
      </c>
      <c r="E205" s="9">
        <v>398042.44</v>
      </c>
      <c r="F205" s="8">
        <v>7.3</v>
      </c>
      <c r="G205" s="8">
        <v>10</v>
      </c>
      <c r="H205" s="8">
        <v>1</v>
      </c>
      <c r="I205" s="8">
        <v>12</v>
      </c>
      <c r="J205" s="10">
        <f t="shared" si="54"/>
        <v>1</v>
      </c>
      <c r="K205" s="11">
        <f t="shared" si="55"/>
        <v>3061864.96</v>
      </c>
      <c r="L205" s="11">
        <f t="shared" si="56"/>
        <v>398042.44</v>
      </c>
      <c r="M205" s="11">
        <f t="shared" si="57"/>
        <v>3459907.4</v>
      </c>
      <c r="N205" s="11">
        <f t="shared" si="58"/>
        <v>3459907.4</v>
      </c>
      <c r="O205" s="11">
        <f t="shared" si="59"/>
        <v>3401436.6850000001</v>
      </c>
      <c r="P205" s="12">
        <f>IF(AND(C205="F",M205&lt;O205,SUMIFS(Категории!$Z$5:$Z$11,Категории!$A$5:$A$11,B205)=1),1,0)</f>
        <v>0</v>
      </c>
      <c r="Q205" s="11">
        <f t="shared" si="60"/>
        <v>0</v>
      </c>
      <c r="R205" s="10">
        <f>IF(AND(P205=1,SUMIFS(Категории!$AA$5:$AA$11,Категории!$A$5:$A$11,B205)&gt;0),Q205/SUMIFS(Категории!$AA$5:$AA$11,Категории!$A$5:$A$11,B205),0)</f>
        <v>0</v>
      </c>
      <c r="S205" s="11">
        <f>R205*SUMIFS(Категории!$AB$5:$AB$11,Категории!$A$5:$A$11,B205)</f>
        <v>0</v>
      </c>
      <c r="T205" s="11">
        <f t="shared" si="61"/>
        <v>0</v>
      </c>
      <c r="U205" s="11">
        <f t="shared" si="62"/>
        <v>0</v>
      </c>
      <c r="V205" s="11">
        <f t="shared" si="63"/>
        <v>0</v>
      </c>
      <c r="W205" s="12">
        <f>IF(AND(C205="F",M205&lt;O205,SUMIFS(Категории!$AH$5:$AH$11,Категории!$A$5:$A$11,B205)=1),1,0)</f>
        <v>0</v>
      </c>
      <c r="X205" s="11">
        <f t="shared" si="64"/>
        <v>0</v>
      </c>
      <c r="Y205" s="10">
        <f>IF(AND(W205=1,SUMIFS(Категории!$AI$5:$AI$11,Категории!$A$5:$A$11,B205)&gt;0),X205/SUMIFS(Категории!$AI$5:$AI$11,Категории!$A$5:$A$11,B205),0)</f>
        <v>0</v>
      </c>
      <c r="Z205" s="11">
        <f>Y205*SUMIFS(Категории!$AJ$5:$AJ$11,Категории!$A$5:$A$11,B205)</f>
        <v>0</v>
      </c>
      <c r="AA205" s="11">
        <f t="shared" si="65"/>
        <v>0</v>
      </c>
      <c r="AB205" s="11">
        <f t="shared" si="66"/>
        <v>0</v>
      </c>
      <c r="AC205" s="11">
        <f t="shared" si="67"/>
        <v>0</v>
      </c>
      <c r="AD205" s="12">
        <f t="shared" si="68"/>
        <v>15</v>
      </c>
      <c r="AE205" s="12">
        <f t="shared" si="69"/>
        <v>26</v>
      </c>
      <c r="AF205" s="12">
        <f t="shared" si="70"/>
        <v>9</v>
      </c>
      <c r="AG205" s="12">
        <f t="shared" si="71"/>
        <v>13</v>
      </c>
    </row>
    <row r="206" spans="1:33" x14ac:dyDescent="0.3">
      <c r="A206" s="8" t="s">
        <v>269</v>
      </c>
      <c r="B206" s="8" t="s">
        <v>254</v>
      </c>
      <c r="C206" s="8" t="s">
        <v>61</v>
      </c>
      <c r="D206" s="9">
        <v>3061864.96</v>
      </c>
      <c r="E206" s="9">
        <v>796084.89</v>
      </c>
      <c r="F206" s="8">
        <v>7.3</v>
      </c>
      <c r="G206" s="8">
        <v>10</v>
      </c>
      <c r="H206" s="8">
        <v>1</v>
      </c>
      <c r="I206" s="8">
        <v>12</v>
      </c>
      <c r="J206" s="10">
        <f t="shared" si="54"/>
        <v>1</v>
      </c>
      <c r="K206" s="11">
        <f t="shared" si="55"/>
        <v>3061864.96</v>
      </c>
      <c r="L206" s="11">
        <f t="shared" si="56"/>
        <v>796084.89</v>
      </c>
      <c r="M206" s="11">
        <f t="shared" si="57"/>
        <v>3857949.85</v>
      </c>
      <c r="N206" s="11">
        <f t="shared" si="58"/>
        <v>3857949.85</v>
      </c>
      <c r="O206" s="11">
        <f t="shared" si="59"/>
        <v>3401436.6850000001</v>
      </c>
      <c r="P206" s="12">
        <f>IF(AND(C206="F",M206&lt;O206,SUMIFS(Категории!$Z$5:$Z$11,Категории!$A$5:$A$11,B206)=1),1,0)</f>
        <v>0</v>
      </c>
      <c r="Q206" s="11">
        <f t="shared" si="60"/>
        <v>0</v>
      </c>
      <c r="R206" s="10">
        <f>IF(AND(P206=1,SUMIFS(Категории!$AA$5:$AA$11,Категории!$A$5:$A$11,B206)&gt;0),Q206/SUMIFS(Категории!$AA$5:$AA$11,Категории!$A$5:$A$11,B206),0)</f>
        <v>0</v>
      </c>
      <c r="S206" s="11">
        <f>R206*SUMIFS(Категории!$AB$5:$AB$11,Категории!$A$5:$A$11,B206)</f>
        <v>0</v>
      </c>
      <c r="T206" s="11">
        <f t="shared" si="61"/>
        <v>0</v>
      </c>
      <c r="U206" s="11">
        <f t="shared" si="62"/>
        <v>0</v>
      </c>
      <c r="V206" s="11">
        <f t="shared" si="63"/>
        <v>0</v>
      </c>
      <c r="W206" s="12">
        <f>IF(AND(C206="F",M206&lt;O206,SUMIFS(Категории!$AH$5:$AH$11,Категории!$A$5:$A$11,B206)=1),1,0)</f>
        <v>0</v>
      </c>
      <c r="X206" s="11">
        <f t="shared" si="64"/>
        <v>0</v>
      </c>
      <c r="Y206" s="10">
        <f>IF(AND(W206=1,SUMIFS(Категории!$AI$5:$AI$11,Категории!$A$5:$A$11,B206)&gt;0),X206/SUMIFS(Категории!$AI$5:$AI$11,Категории!$A$5:$A$11,B206),0)</f>
        <v>0</v>
      </c>
      <c r="Z206" s="11">
        <f>Y206*SUMIFS(Категории!$AJ$5:$AJ$11,Категории!$A$5:$A$11,B206)</f>
        <v>0</v>
      </c>
      <c r="AA206" s="11">
        <f t="shared" si="65"/>
        <v>0</v>
      </c>
      <c r="AB206" s="11">
        <f t="shared" si="66"/>
        <v>0</v>
      </c>
      <c r="AC206" s="11">
        <f t="shared" si="67"/>
        <v>0</v>
      </c>
      <c r="AD206" s="12">
        <f t="shared" si="68"/>
        <v>18</v>
      </c>
      <c r="AE206" s="12">
        <f t="shared" si="69"/>
        <v>26</v>
      </c>
      <c r="AF206" s="12">
        <f t="shared" si="70"/>
        <v>9</v>
      </c>
      <c r="AG206" s="12">
        <f t="shared" si="71"/>
        <v>13</v>
      </c>
    </row>
    <row r="207" spans="1:33" x14ac:dyDescent="0.3">
      <c r="A207" s="8" t="s">
        <v>270</v>
      </c>
      <c r="B207" s="8" t="s">
        <v>254</v>
      </c>
      <c r="C207" s="8" t="s">
        <v>66</v>
      </c>
      <c r="D207" s="9">
        <v>3965426.14</v>
      </c>
      <c r="E207" s="9">
        <v>515505.4</v>
      </c>
      <c r="F207" s="8">
        <v>9.6999999999999993</v>
      </c>
      <c r="G207" s="8">
        <v>12</v>
      </c>
      <c r="H207" s="8">
        <v>1</v>
      </c>
      <c r="I207" s="8">
        <v>12</v>
      </c>
      <c r="J207" s="10">
        <f t="shared" si="54"/>
        <v>1</v>
      </c>
      <c r="K207" s="11">
        <f t="shared" si="55"/>
        <v>3965426.14</v>
      </c>
      <c r="L207" s="11">
        <f t="shared" si="56"/>
        <v>515505.4</v>
      </c>
      <c r="M207" s="11">
        <f t="shared" si="57"/>
        <v>4480931.54</v>
      </c>
      <c r="N207" s="11">
        <f t="shared" si="58"/>
        <v>4480931.54</v>
      </c>
      <c r="O207" s="11">
        <f t="shared" si="59"/>
        <v>3401436.6850000001</v>
      </c>
      <c r="P207" s="12">
        <f>IF(AND(C207="F",M207&lt;O207,SUMIFS(Категории!$Z$5:$Z$11,Категории!$A$5:$A$11,B207)=1),1,0)</f>
        <v>0</v>
      </c>
      <c r="Q207" s="11">
        <f t="shared" si="60"/>
        <v>0</v>
      </c>
      <c r="R207" s="10">
        <f>IF(AND(P207=1,SUMIFS(Категории!$AA$5:$AA$11,Категории!$A$5:$A$11,B207)&gt;0),Q207/SUMIFS(Категории!$AA$5:$AA$11,Категории!$A$5:$A$11,B207),0)</f>
        <v>0</v>
      </c>
      <c r="S207" s="11">
        <f>R207*SUMIFS(Категории!$AB$5:$AB$11,Категории!$A$5:$A$11,B207)</f>
        <v>0</v>
      </c>
      <c r="T207" s="11">
        <f t="shared" si="61"/>
        <v>0</v>
      </c>
      <c r="U207" s="11">
        <f t="shared" si="62"/>
        <v>0</v>
      </c>
      <c r="V207" s="11">
        <f t="shared" si="63"/>
        <v>0</v>
      </c>
      <c r="W207" s="12">
        <f>IF(AND(C207="F",M207&lt;O207,SUMIFS(Категории!$AH$5:$AH$11,Категории!$A$5:$A$11,B207)=1),1,0)</f>
        <v>0</v>
      </c>
      <c r="X207" s="11">
        <f t="shared" si="64"/>
        <v>0</v>
      </c>
      <c r="Y207" s="10">
        <f>IF(AND(W207=1,SUMIFS(Категории!$AI$5:$AI$11,Категории!$A$5:$A$11,B207)&gt;0),X207/SUMIFS(Категории!$AI$5:$AI$11,Категории!$A$5:$A$11,B207),0)</f>
        <v>0</v>
      </c>
      <c r="Z207" s="11">
        <f>Y207*SUMIFS(Категории!$AJ$5:$AJ$11,Категории!$A$5:$A$11,B207)</f>
        <v>0</v>
      </c>
      <c r="AA207" s="11">
        <f t="shared" si="65"/>
        <v>0</v>
      </c>
      <c r="AB207" s="11">
        <f t="shared" si="66"/>
        <v>0</v>
      </c>
      <c r="AC207" s="11">
        <f t="shared" si="67"/>
        <v>0</v>
      </c>
      <c r="AD207" s="12">
        <f t="shared" si="68"/>
        <v>23</v>
      </c>
      <c r="AE207" s="12">
        <f t="shared" si="69"/>
        <v>26</v>
      </c>
      <c r="AF207" s="12">
        <f t="shared" si="70"/>
        <v>13</v>
      </c>
      <c r="AG207" s="12">
        <f t="shared" si="71"/>
        <v>13</v>
      </c>
    </row>
    <row r="208" spans="1:33" x14ac:dyDescent="0.3">
      <c r="A208" s="8" t="s">
        <v>271</v>
      </c>
      <c r="B208" s="8" t="s">
        <v>254</v>
      </c>
      <c r="C208" s="8" t="s">
        <v>61</v>
      </c>
      <c r="D208" s="9">
        <v>3965426.14</v>
      </c>
      <c r="E208" s="9">
        <v>1031010.8</v>
      </c>
      <c r="F208" s="8">
        <v>9.6999999999999993</v>
      </c>
      <c r="G208" s="8">
        <v>12</v>
      </c>
      <c r="H208" s="8">
        <v>1</v>
      </c>
      <c r="I208" s="8">
        <v>12</v>
      </c>
      <c r="J208" s="10">
        <f t="shared" si="54"/>
        <v>1</v>
      </c>
      <c r="K208" s="11">
        <f t="shared" si="55"/>
        <v>3965426.14</v>
      </c>
      <c r="L208" s="11">
        <f t="shared" si="56"/>
        <v>1031010.8</v>
      </c>
      <c r="M208" s="11">
        <f t="shared" si="57"/>
        <v>4996436.9400000004</v>
      </c>
      <c r="N208" s="11">
        <f t="shared" si="58"/>
        <v>4996436.9400000004</v>
      </c>
      <c r="O208" s="11">
        <f t="shared" si="59"/>
        <v>3401436.6850000001</v>
      </c>
      <c r="P208" s="12">
        <f>IF(AND(C208="F",M208&lt;O208,SUMIFS(Категории!$Z$5:$Z$11,Категории!$A$5:$A$11,B208)=1),1,0)</f>
        <v>0</v>
      </c>
      <c r="Q208" s="11">
        <f t="shared" si="60"/>
        <v>0</v>
      </c>
      <c r="R208" s="10">
        <f>IF(AND(P208=1,SUMIFS(Категории!$AA$5:$AA$11,Категории!$A$5:$A$11,B208)&gt;0),Q208/SUMIFS(Категории!$AA$5:$AA$11,Категории!$A$5:$A$11,B208),0)</f>
        <v>0</v>
      </c>
      <c r="S208" s="11">
        <f>R208*SUMIFS(Категории!$AB$5:$AB$11,Категории!$A$5:$A$11,B208)</f>
        <v>0</v>
      </c>
      <c r="T208" s="11">
        <f t="shared" si="61"/>
        <v>0</v>
      </c>
      <c r="U208" s="11">
        <f t="shared" si="62"/>
        <v>0</v>
      </c>
      <c r="V208" s="11">
        <f t="shared" si="63"/>
        <v>0</v>
      </c>
      <c r="W208" s="12">
        <f>IF(AND(C208="F",M208&lt;O208,SUMIFS(Категории!$AH$5:$AH$11,Категории!$A$5:$A$11,B208)=1),1,0)</f>
        <v>0</v>
      </c>
      <c r="X208" s="11">
        <f t="shared" si="64"/>
        <v>0</v>
      </c>
      <c r="Y208" s="10">
        <f>IF(AND(W208=1,SUMIFS(Категории!$AI$5:$AI$11,Категории!$A$5:$A$11,B208)&gt;0),X208/SUMIFS(Категории!$AI$5:$AI$11,Категории!$A$5:$A$11,B208),0)</f>
        <v>0</v>
      </c>
      <c r="Z208" s="11">
        <f>Y208*SUMIFS(Категории!$AJ$5:$AJ$11,Категории!$A$5:$A$11,B208)</f>
        <v>0</v>
      </c>
      <c r="AA208" s="11">
        <f t="shared" si="65"/>
        <v>0</v>
      </c>
      <c r="AB208" s="11">
        <f t="shared" si="66"/>
        <v>0</v>
      </c>
      <c r="AC208" s="11">
        <f t="shared" si="67"/>
        <v>0</v>
      </c>
      <c r="AD208" s="12">
        <f t="shared" si="68"/>
        <v>26</v>
      </c>
      <c r="AE208" s="12">
        <f t="shared" si="69"/>
        <v>26</v>
      </c>
      <c r="AF208" s="12">
        <f t="shared" si="70"/>
        <v>13</v>
      </c>
      <c r="AG208" s="12">
        <f t="shared" si="71"/>
        <v>13</v>
      </c>
    </row>
    <row r="209" spans="1:33" x14ac:dyDescent="0.3">
      <c r="A209" s="8" t="s">
        <v>272</v>
      </c>
      <c r="B209" s="8" t="s">
        <v>254</v>
      </c>
      <c r="C209" s="8" t="s">
        <v>66</v>
      </c>
      <c r="D209" s="9">
        <v>3452470.07</v>
      </c>
      <c r="E209" s="9">
        <v>448821.11</v>
      </c>
      <c r="F209" s="8">
        <v>7.8</v>
      </c>
      <c r="G209" s="8">
        <v>11</v>
      </c>
      <c r="H209" s="8">
        <v>1</v>
      </c>
      <c r="I209" s="8">
        <v>12</v>
      </c>
      <c r="J209" s="10">
        <f t="shared" si="54"/>
        <v>1</v>
      </c>
      <c r="K209" s="11">
        <f t="shared" si="55"/>
        <v>3452470.07</v>
      </c>
      <c r="L209" s="11">
        <f t="shared" si="56"/>
        <v>448821.11</v>
      </c>
      <c r="M209" s="11">
        <f t="shared" si="57"/>
        <v>3901291.1799999997</v>
      </c>
      <c r="N209" s="11">
        <f t="shared" si="58"/>
        <v>3901291.1799999997</v>
      </c>
      <c r="O209" s="11">
        <f t="shared" si="59"/>
        <v>3401436.6850000001</v>
      </c>
      <c r="P209" s="12">
        <f>IF(AND(C209="F",M209&lt;O209,SUMIFS(Категории!$Z$5:$Z$11,Категории!$A$5:$A$11,B209)=1),1,0)</f>
        <v>0</v>
      </c>
      <c r="Q209" s="11">
        <f t="shared" si="60"/>
        <v>0</v>
      </c>
      <c r="R209" s="10">
        <f>IF(AND(P209=1,SUMIFS(Категории!$AA$5:$AA$11,Категории!$A$5:$A$11,B209)&gt;0),Q209/SUMIFS(Категории!$AA$5:$AA$11,Категории!$A$5:$A$11,B209),0)</f>
        <v>0</v>
      </c>
      <c r="S209" s="11">
        <f>R209*SUMIFS(Категории!$AB$5:$AB$11,Категории!$A$5:$A$11,B209)</f>
        <v>0</v>
      </c>
      <c r="T209" s="11">
        <f t="shared" si="61"/>
        <v>0</v>
      </c>
      <c r="U209" s="11">
        <f t="shared" si="62"/>
        <v>0</v>
      </c>
      <c r="V209" s="11">
        <f t="shared" si="63"/>
        <v>0</v>
      </c>
      <c r="W209" s="12">
        <f>IF(AND(C209="F",M209&lt;O209,SUMIFS(Категории!$AH$5:$AH$11,Категории!$A$5:$A$11,B209)=1),1,0)</f>
        <v>0</v>
      </c>
      <c r="X209" s="11">
        <f t="shared" si="64"/>
        <v>0</v>
      </c>
      <c r="Y209" s="10">
        <f>IF(AND(W209=1,SUMIFS(Категории!$AI$5:$AI$11,Категории!$A$5:$A$11,B209)&gt;0),X209/SUMIFS(Категории!$AI$5:$AI$11,Категории!$A$5:$A$11,B209),0)</f>
        <v>0</v>
      </c>
      <c r="Z209" s="11">
        <f>Y209*SUMIFS(Категории!$AJ$5:$AJ$11,Категории!$A$5:$A$11,B209)</f>
        <v>0</v>
      </c>
      <c r="AA209" s="11">
        <f t="shared" si="65"/>
        <v>0</v>
      </c>
      <c r="AB209" s="11">
        <f t="shared" si="66"/>
        <v>0</v>
      </c>
      <c r="AC209" s="11">
        <f t="shared" si="67"/>
        <v>0</v>
      </c>
      <c r="AD209" s="12">
        <f t="shared" si="68"/>
        <v>19</v>
      </c>
      <c r="AE209" s="12">
        <f t="shared" si="69"/>
        <v>26</v>
      </c>
      <c r="AF209" s="12">
        <f t="shared" si="70"/>
        <v>10</v>
      </c>
      <c r="AG209" s="12">
        <f t="shared" si="71"/>
        <v>13</v>
      </c>
    </row>
    <row r="210" spans="1:33" x14ac:dyDescent="0.3">
      <c r="A210" s="8" t="s">
        <v>273</v>
      </c>
      <c r="B210" s="8" t="s">
        <v>254</v>
      </c>
      <c r="C210" s="8" t="s">
        <v>61</v>
      </c>
      <c r="D210" s="9">
        <v>3452470.07</v>
      </c>
      <c r="E210" s="9">
        <v>897642.22</v>
      </c>
      <c r="F210" s="8">
        <v>7.8</v>
      </c>
      <c r="G210" s="8">
        <v>11</v>
      </c>
      <c r="H210" s="8">
        <v>1</v>
      </c>
      <c r="I210" s="8">
        <v>12</v>
      </c>
      <c r="J210" s="10">
        <f t="shared" si="54"/>
        <v>1</v>
      </c>
      <c r="K210" s="11">
        <f t="shared" si="55"/>
        <v>3452470.07</v>
      </c>
      <c r="L210" s="11">
        <f t="shared" si="56"/>
        <v>897642.22</v>
      </c>
      <c r="M210" s="11">
        <f t="shared" si="57"/>
        <v>4350112.29</v>
      </c>
      <c r="N210" s="11">
        <f t="shared" si="58"/>
        <v>4350112.29</v>
      </c>
      <c r="O210" s="11">
        <f t="shared" si="59"/>
        <v>3401436.6850000001</v>
      </c>
      <c r="P210" s="12">
        <f>IF(AND(C210="F",M210&lt;O210,SUMIFS(Категории!$Z$5:$Z$11,Категории!$A$5:$A$11,B210)=1),1,0)</f>
        <v>0</v>
      </c>
      <c r="Q210" s="11">
        <f t="shared" si="60"/>
        <v>0</v>
      </c>
      <c r="R210" s="10">
        <f>IF(AND(P210=1,SUMIFS(Категории!$AA$5:$AA$11,Категории!$A$5:$A$11,B210)&gt;0),Q210/SUMIFS(Категории!$AA$5:$AA$11,Категории!$A$5:$A$11,B210),0)</f>
        <v>0</v>
      </c>
      <c r="S210" s="11">
        <f>R210*SUMIFS(Категории!$AB$5:$AB$11,Категории!$A$5:$A$11,B210)</f>
        <v>0</v>
      </c>
      <c r="T210" s="11">
        <f t="shared" si="61"/>
        <v>0</v>
      </c>
      <c r="U210" s="11">
        <f t="shared" si="62"/>
        <v>0</v>
      </c>
      <c r="V210" s="11">
        <f t="shared" si="63"/>
        <v>0</v>
      </c>
      <c r="W210" s="12">
        <f>IF(AND(C210="F",M210&lt;O210,SUMIFS(Категории!$AH$5:$AH$11,Категории!$A$5:$A$11,B210)=1),1,0)</f>
        <v>0</v>
      </c>
      <c r="X210" s="11">
        <f t="shared" si="64"/>
        <v>0</v>
      </c>
      <c r="Y210" s="10">
        <f>IF(AND(W210=1,SUMIFS(Категории!$AI$5:$AI$11,Категории!$A$5:$A$11,B210)&gt;0),X210/SUMIFS(Категории!$AI$5:$AI$11,Категории!$A$5:$A$11,B210),0)</f>
        <v>0</v>
      </c>
      <c r="Z210" s="11">
        <f>Y210*SUMIFS(Категории!$AJ$5:$AJ$11,Категории!$A$5:$A$11,B210)</f>
        <v>0</v>
      </c>
      <c r="AA210" s="11">
        <f t="shared" si="65"/>
        <v>0</v>
      </c>
      <c r="AB210" s="11">
        <f t="shared" si="66"/>
        <v>0</v>
      </c>
      <c r="AC210" s="11">
        <f t="shared" si="67"/>
        <v>0</v>
      </c>
      <c r="AD210" s="12">
        <f t="shared" si="68"/>
        <v>22</v>
      </c>
      <c r="AE210" s="12">
        <f t="shared" si="69"/>
        <v>26</v>
      </c>
      <c r="AF210" s="12">
        <f t="shared" si="70"/>
        <v>10</v>
      </c>
      <c r="AG210" s="12">
        <f t="shared" si="71"/>
        <v>13</v>
      </c>
    </row>
    <row r="211" spans="1:33" x14ac:dyDescent="0.3">
      <c r="A211" s="8" t="s">
        <v>274</v>
      </c>
      <c r="B211" s="8" t="s">
        <v>254</v>
      </c>
      <c r="C211" s="8" t="s">
        <v>66</v>
      </c>
      <c r="D211" s="9">
        <v>2966656</v>
      </c>
      <c r="E211" s="9">
        <v>385665.28000000003</v>
      </c>
      <c r="F211" s="8">
        <v>5</v>
      </c>
      <c r="G211" s="8">
        <v>10</v>
      </c>
      <c r="H211" s="8">
        <v>1</v>
      </c>
      <c r="I211" s="8">
        <v>12</v>
      </c>
      <c r="J211" s="10">
        <f t="shared" si="54"/>
        <v>1</v>
      </c>
      <c r="K211" s="11">
        <f t="shared" si="55"/>
        <v>2966656</v>
      </c>
      <c r="L211" s="11">
        <f t="shared" si="56"/>
        <v>385665.28000000003</v>
      </c>
      <c r="M211" s="11">
        <f t="shared" si="57"/>
        <v>3352321.2800000003</v>
      </c>
      <c r="N211" s="11">
        <f t="shared" si="58"/>
        <v>3352321.2800000003</v>
      </c>
      <c r="O211" s="11">
        <f t="shared" si="59"/>
        <v>3401436.6850000001</v>
      </c>
      <c r="P211" s="12">
        <f>IF(AND(C211="F",M211&lt;O211,SUMIFS(Категории!$Z$5:$Z$11,Категории!$A$5:$A$11,B211)=1),1,0)</f>
        <v>1</v>
      </c>
      <c r="Q211" s="11">
        <f t="shared" si="60"/>
        <v>49115.404999999795</v>
      </c>
      <c r="R211" s="10">
        <f>IF(AND(P211=1,SUMIFS(Категории!$AA$5:$AA$11,Категории!$A$5:$A$11,B211)&gt;0),Q211/SUMIFS(Категории!$AA$5:$AA$11,Категории!$A$5:$A$11,B211),0)</f>
        <v>1.2670482839819549E-2</v>
      </c>
      <c r="S211" s="11">
        <f>R211*SUMIFS(Категории!$AB$5:$AB$11,Категории!$A$5:$A$11,B211)</f>
        <v>32648.616925860046</v>
      </c>
      <c r="T211" s="11">
        <f t="shared" si="61"/>
        <v>32648.616925860046</v>
      </c>
      <c r="U211" s="11">
        <f t="shared" si="62"/>
        <v>6769.1971558048663</v>
      </c>
      <c r="V211" s="11">
        <f t="shared" si="63"/>
        <v>39417.81408166491</v>
      </c>
      <c r="W211" s="12">
        <f>IF(AND(C211="F",M211&lt;O211,SUMIFS(Категории!$AH$5:$AH$11,Категории!$A$5:$A$11,B211)=1),1,0)</f>
        <v>1</v>
      </c>
      <c r="X211" s="11">
        <f t="shared" si="64"/>
        <v>49115.404999999795</v>
      </c>
      <c r="Y211" s="10">
        <f>IF(AND(W211=1,SUMIFS(Категории!$AI$5:$AI$11,Категории!$A$5:$A$11,B211)&gt;0),X211/SUMIFS(Категории!$AI$5:$AI$11,Категории!$A$5:$A$11,B211),0)</f>
        <v>1.2670482839819549E-2</v>
      </c>
      <c r="Z211" s="11">
        <f>Y211*SUMIFS(Категории!$AJ$5:$AJ$11,Категории!$A$5:$A$11,B211)</f>
        <v>63348.062775176259</v>
      </c>
      <c r="AA211" s="11">
        <f t="shared" si="65"/>
        <v>63348.062775176259</v>
      </c>
      <c r="AB211" s="11">
        <f t="shared" si="66"/>
        <v>11404.813479051614</v>
      </c>
      <c r="AC211" s="11">
        <f t="shared" si="67"/>
        <v>74752.876254227871</v>
      </c>
      <c r="AD211" s="12">
        <f t="shared" si="68"/>
        <v>13</v>
      </c>
      <c r="AE211" s="12">
        <f t="shared" si="69"/>
        <v>26</v>
      </c>
      <c r="AF211" s="12">
        <f t="shared" si="70"/>
        <v>7</v>
      </c>
      <c r="AG211" s="12">
        <f t="shared" si="71"/>
        <v>13</v>
      </c>
    </row>
    <row r="212" spans="1:33" x14ac:dyDescent="0.3">
      <c r="A212" s="8" t="s">
        <v>275</v>
      </c>
      <c r="B212" s="8" t="s">
        <v>254</v>
      </c>
      <c r="C212" s="8" t="s">
        <v>61</v>
      </c>
      <c r="D212" s="9">
        <v>2966656</v>
      </c>
      <c r="E212" s="9">
        <v>771330.56000000006</v>
      </c>
      <c r="F212" s="8">
        <v>5</v>
      </c>
      <c r="G212" s="8">
        <v>10</v>
      </c>
      <c r="H212" s="8">
        <v>1</v>
      </c>
      <c r="I212" s="8">
        <v>12</v>
      </c>
      <c r="J212" s="10">
        <f t="shared" si="54"/>
        <v>1</v>
      </c>
      <c r="K212" s="11">
        <f t="shared" si="55"/>
        <v>2966656</v>
      </c>
      <c r="L212" s="11">
        <f t="shared" si="56"/>
        <v>771330.56000000006</v>
      </c>
      <c r="M212" s="11">
        <f t="shared" si="57"/>
        <v>3737986.56</v>
      </c>
      <c r="N212" s="11">
        <f t="shared" si="58"/>
        <v>3737986.56</v>
      </c>
      <c r="O212" s="11">
        <f t="shared" si="59"/>
        <v>3401436.6850000001</v>
      </c>
      <c r="P212" s="12">
        <f>IF(AND(C212="F",M212&lt;O212,SUMIFS(Категории!$Z$5:$Z$11,Категории!$A$5:$A$11,B212)=1),1,0)</f>
        <v>0</v>
      </c>
      <c r="Q212" s="11">
        <f t="shared" si="60"/>
        <v>0</v>
      </c>
      <c r="R212" s="10">
        <f>IF(AND(P212=1,SUMIFS(Категории!$AA$5:$AA$11,Категории!$A$5:$A$11,B212)&gt;0),Q212/SUMIFS(Категории!$AA$5:$AA$11,Категории!$A$5:$A$11,B212),0)</f>
        <v>0</v>
      </c>
      <c r="S212" s="11">
        <f>R212*SUMIFS(Категории!$AB$5:$AB$11,Категории!$A$5:$A$11,B212)</f>
        <v>0</v>
      </c>
      <c r="T212" s="11">
        <f t="shared" si="61"/>
        <v>0</v>
      </c>
      <c r="U212" s="11">
        <f t="shared" si="62"/>
        <v>0</v>
      </c>
      <c r="V212" s="11">
        <f t="shared" si="63"/>
        <v>0</v>
      </c>
      <c r="W212" s="12">
        <f>IF(AND(C212="F",M212&lt;O212,SUMIFS(Категории!$AH$5:$AH$11,Категории!$A$5:$A$11,B212)=1),1,0)</f>
        <v>0</v>
      </c>
      <c r="X212" s="11">
        <f t="shared" si="64"/>
        <v>0</v>
      </c>
      <c r="Y212" s="10">
        <f>IF(AND(W212=1,SUMIFS(Категории!$AI$5:$AI$11,Категории!$A$5:$A$11,B212)&gt;0),X212/SUMIFS(Категории!$AI$5:$AI$11,Категории!$A$5:$A$11,B212),0)</f>
        <v>0</v>
      </c>
      <c r="Z212" s="11">
        <f>Y212*SUMIFS(Категории!$AJ$5:$AJ$11,Категории!$A$5:$A$11,B212)</f>
        <v>0</v>
      </c>
      <c r="AA212" s="11">
        <f t="shared" si="65"/>
        <v>0</v>
      </c>
      <c r="AB212" s="11">
        <f t="shared" si="66"/>
        <v>0</v>
      </c>
      <c r="AC212" s="11">
        <f t="shared" si="67"/>
        <v>0</v>
      </c>
      <c r="AD212" s="12">
        <f t="shared" si="68"/>
        <v>16</v>
      </c>
      <c r="AE212" s="12">
        <f t="shared" si="69"/>
        <v>26</v>
      </c>
      <c r="AF212" s="12">
        <f t="shared" si="70"/>
        <v>7</v>
      </c>
      <c r="AG212" s="12">
        <f t="shared" si="71"/>
        <v>13</v>
      </c>
    </row>
    <row r="213" spans="1:33" x14ac:dyDescent="0.3">
      <c r="A213" s="8" t="s">
        <v>276</v>
      </c>
      <c r="B213" s="8" t="s">
        <v>254</v>
      </c>
      <c r="C213" s="8" t="s">
        <v>66</v>
      </c>
      <c r="D213" s="9">
        <v>3642556.83</v>
      </c>
      <c r="E213" s="9">
        <v>473532.39</v>
      </c>
      <c r="F213" s="8">
        <v>11.9</v>
      </c>
      <c r="G213" s="8">
        <v>11</v>
      </c>
      <c r="H213" s="8">
        <v>1</v>
      </c>
      <c r="I213" s="8">
        <v>12</v>
      </c>
      <c r="J213" s="10">
        <f t="shared" si="54"/>
        <v>1</v>
      </c>
      <c r="K213" s="11">
        <f t="shared" si="55"/>
        <v>3642556.83</v>
      </c>
      <c r="L213" s="11">
        <f t="shared" si="56"/>
        <v>473532.39</v>
      </c>
      <c r="M213" s="11">
        <f t="shared" si="57"/>
        <v>4116089.22</v>
      </c>
      <c r="N213" s="11">
        <f t="shared" si="58"/>
        <v>4116089.22</v>
      </c>
      <c r="O213" s="11">
        <f t="shared" si="59"/>
        <v>3401436.6850000001</v>
      </c>
      <c r="P213" s="12">
        <f>IF(AND(C213="F",M213&lt;O213,SUMIFS(Категории!$Z$5:$Z$11,Категории!$A$5:$A$11,B213)=1),1,0)</f>
        <v>0</v>
      </c>
      <c r="Q213" s="11">
        <f t="shared" si="60"/>
        <v>0</v>
      </c>
      <c r="R213" s="10">
        <f>IF(AND(P213=1,SUMIFS(Категории!$AA$5:$AA$11,Категории!$A$5:$A$11,B213)&gt;0),Q213/SUMIFS(Категории!$AA$5:$AA$11,Категории!$A$5:$A$11,B213),0)</f>
        <v>0</v>
      </c>
      <c r="S213" s="11">
        <f>R213*SUMIFS(Категории!$AB$5:$AB$11,Категории!$A$5:$A$11,B213)</f>
        <v>0</v>
      </c>
      <c r="T213" s="11">
        <f t="shared" si="61"/>
        <v>0</v>
      </c>
      <c r="U213" s="11">
        <f t="shared" si="62"/>
        <v>0</v>
      </c>
      <c r="V213" s="11">
        <f t="shared" si="63"/>
        <v>0</v>
      </c>
      <c r="W213" s="12">
        <f>IF(AND(C213="F",M213&lt;O213,SUMIFS(Категории!$AH$5:$AH$11,Категории!$A$5:$A$11,B213)=1),1,0)</f>
        <v>0</v>
      </c>
      <c r="X213" s="11">
        <f t="shared" si="64"/>
        <v>0</v>
      </c>
      <c r="Y213" s="10">
        <f>IF(AND(W213=1,SUMIFS(Категории!$AI$5:$AI$11,Категории!$A$5:$A$11,B213)&gt;0),X213/SUMIFS(Категории!$AI$5:$AI$11,Категории!$A$5:$A$11,B213),0)</f>
        <v>0</v>
      </c>
      <c r="Z213" s="11">
        <f>Y213*SUMIFS(Категории!$AJ$5:$AJ$11,Категории!$A$5:$A$11,B213)</f>
        <v>0</v>
      </c>
      <c r="AA213" s="11">
        <f t="shared" si="65"/>
        <v>0</v>
      </c>
      <c r="AB213" s="11">
        <f t="shared" si="66"/>
        <v>0</v>
      </c>
      <c r="AC213" s="11">
        <f t="shared" si="67"/>
        <v>0</v>
      </c>
      <c r="AD213" s="12">
        <f t="shared" si="68"/>
        <v>21</v>
      </c>
      <c r="AE213" s="12">
        <f t="shared" si="69"/>
        <v>26</v>
      </c>
      <c r="AF213" s="12">
        <f t="shared" si="70"/>
        <v>12</v>
      </c>
      <c r="AG213" s="12">
        <f t="shared" si="71"/>
        <v>13</v>
      </c>
    </row>
    <row r="214" spans="1:33" x14ac:dyDescent="0.3">
      <c r="A214" s="8" t="s">
        <v>277</v>
      </c>
      <c r="B214" s="8" t="s">
        <v>254</v>
      </c>
      <c r="C214" s="8" t="s">
        <v>61</v>
      </c>
      <c r="D214" s="9">
        <v>3642556.83</v>
      </c>
      <c r="E214" s="9">
        <v>947064.77</v>
      </c>
      <c r="F214" s="8">
        <v>11.9</v>
      </c>
      <c r="G214" s="8">
        <v>11</v>
      </c>
      <c r="H214" s="8">
        <v>1</v>
      </c>
      <c r="I214" s="8">
        <v>12</v>
      </c>
      <c r="J214" s="10">
        <f t="shared" si="54"/>
        <v>1</v>
      </c>
      <c r="K214" s="11">
        <f t="shared" si="55"/>
        <v>3642556.83</v>
      </c>
      <c r="L214" s="11">
        <f t="shared" si="56"/>
        <v>947064.77</v>
      </c>
      <c r="M214" s="11">
        <f t="shared" si="57"/>
        <v>4589621.5999999996</v>
      </c>
      <c r="N214" s="11">
        <f t="shared" si="58"/>
        <v>4589621.5999999996</v>
      </c>
      <c r="O214" s="11">
        <f t="shared" si="59"/>
        <v>3401436.6850000001</v>
      </c>
      <c r="P214" s="12">
        <f>IF(AND(C214="F",M214&lt;O214,SUMIFS(Категории!$Z$5:$Z$11,Категории!$A$5:$A$11,B214)=1),1,0)</f>
        <v>0</v>
      </c>
      <c r="Q214" s="11">
        <f t="shared" si="60"/>
        <v>0</v>
      </c>
      <c r="R214" s="10">
        <f>IF(AND(P214=1,SUMIFS(Категории!$AA$5:$AA$11,Категории!$A$5:$A$11,B214)&gt;0),Q214/SUMIFS(Категории!$AA$5:$AA$11,Категории!$A$5:$A$11,B214),0)</f>
        <v>0</v>
      </c>
      <c r="S214" s="11">
        <f>R214*SUMIFS(Категории!$AB$5:$AB$11,Категории!$A$5:$A$11,B214)</f>
        <v>0</v>
      </c>
      <c r="T214" s="11">
        <f t="shared" si="61"/>
        <v>0</v>
      </c>
      <c r="U214" s="11">
        <f t="shared" si="62"/>
        <v>0</v>
      </c>
      <c r="V214" s="11">
        <f t="shared" si="63"/>
        <v>0</v>
      </c>
      <c r="W214" s="12">
        <f>IF(AND(C214="F",M214&lt;O214,SUMIFS(Категории!$AH$5:$AH$11,Категории!$A$5:$A$11,B214)=1),1,0)</f>
        <v>0</v>
      </c>
      <c r="X214" s="11">
        <f t="shared" si="64"/>
        <v>0</v>
      </c>
      <c r="Y214" s="10">
        <f>IF(AND(W214=1,SUMIFS(Категории!$AI$5:$AI$11,Категории!$A$5:$A$11,B214)&gt;0),X214/SUMIFS(Категории!$AI$5:$AI$11,Категории!$A$5:$A$11,B214),0)</f>
        <v>0</v>
      </c>
      <c r="Z214" s="11">
        <f>Y214*SUMIFS(Категории!$AJ$5:$AJ$11,Категории!$A$5:$A$11,B214)</f>
        <v>0</v>
      </c>
      <c r="AA214" s="11">
        <f t="shared" si="65"/>
        <v>0</v>
      </c>
      <c r="AB214" s="11">
        <f t="shared" si="66"/>
        <v>0</v>
      </c>
      <c r="AC214" s="11">
        <f t="shared" si="67"/>
        <v>0</v>
      </c>
      <c r="AD214" s="12">
        <f t="shared" si="68"/>
        <v>25</v>
      </c>
      <c r="AE214" s="12">
        <f t="shared" si="69"/>
        <v>26</v>
      </c>
      <c r="AF214" s="12">
        <f t="shared" si="70"/>
        <v>12</v>
      </c>
      <c r="AG214" s="12">
        <f t="shared" si="71"/>
        <v>13</v>
      </c>
    </row>
    <row r="215" spans="1:33" x14ac:dyDescent="0.3">
      <c r="A215" s="8" t="s">
        <v>278</v>
      </c>
      <c r="B215" s="8" t="s">
        <v>254</v>
      </c>
      <c r="C215" s="8" t="s">
        <v>66</v>
      </c>
      <c r="D215" s="9">
        <v>2600752</v>
      </c>
      <c r="E215" s="9">
        <v>338097.76</v>
      </c>
      <c r="F215" s="8">
        <v>3.7</v>
      </c>
      <c r="G215" s="8">
        <v>9</v>
      </c>
      <c r="H215" s="8">
        <v>1</v>
      </c>
      <c r="I215" s="8">
        <v>12</v>
      </c>
      <c r="J215" s="10">
        <f t="shared" si="54"/>
        <v>1</v>
      </c>
      <c r="K215" s="11">
        <f t="shared" si="55"/>
        <v>2600752</v>
      </c>
      <c r="L215" s="11">
        <f t="shared" si="56"/>
        <v>338097.76</v>
      </c>
      <c r="M215" s="11">
        <f t="shared" si="57"/>
        <v>2938849.76</v>
      </c>
      <c r="N215" s="11">
        <f t="shared" si="58"/>
        <v>2938849.76</v>
      </c>
      <c r="O215" s="11">
        <f t="shared" si="59"/>
        <v>3401436.6850000001</v>
      </c>
      <c r="P215" s="12">
        <f>IF(AND(C215="F",M215&lt;O215,SUMIFS(Категории!$Z$5:$Z$11,Категории!$A$5:$A$11,B215)=1),1,0)</f>
        <v>1</v>
      </c>
      <c r="Q215" s="11">
        <f t="shared" si="60"/>
        <v>462586.92500000028</v>
      </c>
      <c r="R215" s="10">
        <f>IF(AND(P215=1,SUMIFS(Категории!$AA$5:$AA$11,Категории!$A$5:$A$11,B215)&gt;0),Q215/SUMIFS(Категории!$AA$5:$AA$11,Категории!$A$5:$A$11,B215),0)</f>
        <v>0.11933526141416162</v>
      </c>
      <c r="S215" s="11">
        <f>R215*SUMIFS(Категории!$AB$5:$AB$11,Категории!$A$5:$A$11,B215)</f>
        <v>307496.66645804147</v>
      </c>
      <c r="T215" s="11">
        <f t="shared" si="61"/>
        <v>307496.66645804147</v>
      </c>
      <c r="U215" s="11">
        <f t="shared" si="62"/>
        <v>92248.999937412431</v>
      </c>
      <c r="V215" s="11">
        <f t="shared" si="63"/>
        <v>399745.66639545391</v>
      </c>
      <c r="W215" s="12">
        <f>IF(AND(C215="F",M215&lt;O215,SUMIFS(Категории!$AH$5:$AH$11,Категории!$A$5:$A$11,B215)=1),1,0)</f>
        <v>1</v>
      </c>
      <c r="X215" s="11">
        <f t="shared" si="64"/>
        <v>462586.92500000028</v>
      </c>
      <c r="Y215" s="10">
        <f>IF(AND(W215=1,SUMIFS(Категории!$AI$5:$AI$11,Категории!$A$5:$A$11,B215)&gt;0),X215/SUMIFS(Категории!$AI$5:$AI$11,Категории!$A$5:$A$11,B215),0)</f>
        <v>0.11933526141416162</v>
      </c>
      <c r="Z215" s="11">
        <f>Y215*SUMIFS(Категории!$AJ$5:$AJ$11,Категории!$A$5:$A$11,B215)</f>
        <v>596635.32376198249</v>
      </c>
      <c r="AA215" s="11">
        <f t="shared" si="65"/>
        <v>596635.32376198249</v>
      </c>
      <c r="AB215" s="11">
        <f t="shared" si="66"/>
        <v>146450.88588805933</v>
      </c>
      <c r="AC215" s="11">
        <f t="shared" si="67"/>
        <v>743086.20965004177</v>
      </c>
      <c r="AD215" s="12">
        <f t="shared" si="68"/>
        <v>8</v>
      </c>
      <c r="AE215" s="12">
        <f t="shared" si="69"/>
        <v>26</v>
      </c>
      <c r="AF215" s="12">
        <f t="shared" si="70"/>
        <v>5</v>
      </c>
      <c r="AG215" s="12">
        <f t="shared" si="71"/>
        <v>13</v>
      </c>
    </row>
    <row r="216" spans="1:33" x14ac:dyDescent="0.3">
      <c r="A216" s="8" t="s">
        <v>279</v>
      </c>
      <c r="B216" s="8" t="s">
        <v>254</v>
      </c>
      <c r="C216" s="8" t="s">
        <v>61</v>
      </c>
      <c r="D216" s="9">
        <v>2600752</v>
      </c>
      <c r="E216" s="9">
        <v>676195.52</v>
      </c>
      <c r="F216" s="8">
        <v>3.7</v>
      </c>
      <c r="G216" s="8">
        <v>9</v>
      </c>
      <c r="H216" s="8">
        <v>1</v>
      </c>
      <c r="I216" s="8">
        <v>12</v>
      </c>
      <c r="J216" s="10">
        <f t="shared" si="54"/>
        <v>1</v>
      </c>
      <c r="K216" s="11">
        <f t="shared" si="55"/>
        <v>2600752</v>
      </c>
      <c r="L216" s="11">
        <f t="shared" si="56"/>
        <v>676195.52</v>
      </c>
      <c r="M216" s="11">
        <f t="shared" si="57"/>
        <v>3276947.52</v>
      </c>
      <c r="N216" s="11">
        <f t="shared" si="58"/>
        <v>3276947.52</v>
      </c>
      <c r="O216" s="11">
        <f t="shared" si="59"/>
        <v>3401436.6850000001</v>
      </c>
      <c r="P216" s="12">
        <f>IF(AND(C216="F",M216&lt;O216,SUMIFS(Категории!$Z$5:$Z$11,Категории!$A$5:$A$11,B216)=1),1,0)</f>
        <v>0</v>
      </c>
      <c r="Q216" s="11">
        <f t="shared" si="60"/>
        <v>0</v>
      </c>
      <c r="R216" s="10">
        <f>IF(AND(P216=1,SUMIFS(Категории!$AA$5:$AA$11,Категории!$A$5:$A$11,B216)&gt;0),Q216/SUMIFS(Категории!$AA$5:$AA$11,Категории!$A$5:$A$11,B216),0)</f>
        <v>0</v>
      </c>
      <c r="S216" s="11">
        <f>R216*SUMIFS(Категории!$AB$5:$AB$11,Категории!$A$5:$A$11,B216)</f>
        <v>0</v>
      </c>
      <c r="T216" s="11">
        <f t="shared" si="61"/>
        <v>0</v>
      </c>
      <c r="U216" s="11">
        <f t="shared" si="62"/>
        <v>0</v>
      </c>
      <c r="V216" s="11">
        <f t="shared" si="63"/>
        <v>0</v>
      </c>
      <c r="W216" s="12">
        <f>IF(AND(C216="F",M216&lt;O216,SUMIFS(Категории!$AH$5:$AH$11,Категории!$A$5:$A$11,B216)=1),1,0)</f>
        <v>0</v>
      </c>
      <c r="X216" s="11">
        <f t="shared" si="64"/>
        <v>0</v>
      </c>
      <c r="Y216" s="10">
        <f>IF(AND(W216=1,SUMIFS(Категории!$AI$5:$AI$11,Категории!$A$5:$A$11,B216)&gt;0),X216/SUMIFS(Категории!$AI$5:$AI$11,Категории!$A$5:$A$11,B216),0)</f>
        <v>0</v>
      </c>
      <c r="Z216" s="11">
        <f>Y216*SUMIFS(Категории!$AJ$5:$AJ$11,Категории!$A$5:$A$11,B216)</f>
        <v>0</v>
      </c>
      <c r="AA216" s="11">
        <f t="shared" si="65"/>
        <v>0</v>
      </c>
      <c r="AB216" s="11">
        <f t="shared" si="66"/>
        <v>0</v>
      </c>
      <c r="AC216" s="11">
        <f t="shared" si="67"/>
        <v>0</v>
      </c>
      <c r="AD216" s="12">
        <f t="shared" si="68"/>
        <v>11</v>
      </c>
      <c r="AE216" s="12">
        <f t="shared" si="69"/>
        <v>26</v>
      </c>
      <c r="AF216" s="12">
        <f t="shared" si="70"/>
        <v>5</v>
      </c>
      <c r="AG216" s="12">
        <f t="shared" si="71"/>
        <v>13</v>
      </c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K11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8" customWidth="1"/>
    <col min="2" max="2" width="10" customWidth="1"/>
    <col min="3" max="4" width="7" customWidth="1"/>
    <col min="5" max="52" width="12" customWidth="1"/>
    <col min="53" max="63" width="20" customWidth="1"/>
  </cols>
  <sheetData>
    <row r="1" spans="1:63" ht="17.399999999999999" x14ac:dyDescent="0.35">
      <c r="A1" s="1" t="s">
        <v>280</v>
      </c>
    </row>
    <row r="2" spans="1:63" x14ac:dyDescent="0.3">
      <c r="A2" s="2" t="s">
        <v>281</v>
      </c>
    </row>
    <row r="4" spans="1:63" ht="30" customHeight="1" x14ac:dyDescent="0.3">
      <c r="A4" s="3" t="s">
        <v>27</v>
      </c>
      <c r="B4" s="3" t="s">
        <v>282</v>
      </c>
      <c r="C4" s="3" t="s">
        <v>283</v>
      </c>
      <c r="D4" s="3" t="s">
        <v>284</v>
      </c>
      <c r="E4" s="3" t="s">
        <v>285</v>
      </c>
      <c r="F4" s="3" t="s">
        <v>286</v>
      </c>
      <c r="G4" s="3" t="s">
        <v>287</v>
      </c>
      <c r="H4" s="3" t="s">
        <v>288</v>
      </c>
      <c r="I4" s="3" t="s">
        <v>289</v>
      </c>
      <c r="J4" s="3" t="s">
        <v>290</v>
      </c>
      <c r="K4" s="3" t="s">
        <v>291</v>
      </c>
      <c r="L4" s="3" t="s">
        <v>292</v>
      </c>
      <c r="M4" s="3" t="s">
        <v>293</v>
      </c>
      <c r="N4" s="3" t="s">
        <v>294</v>
      </c>
      <c r="O4" s="3" t="s">
        <v>295</v>
      </c>
      <c r="P4" s="3" t="s">
        <v>296</v>
      </c>
      <c r="Q4" s="3" t="s">
        <v>297</v>
      </c>
      <c r="R4" s="3" t="s">
        <v>298</v>
      </c>
      <c r="S4" s="3" t="s">
        <v>299</v>
      </c>
      <c r="T4" s="3" t="s">
        <v>300</v>
      </c>
      <c r="U4" s="3" t="s">
        <v>301</v>
      </c>
      <c r="V4" s="3" t="s">
        <v>302</v>
      </c>
      <c r="W4" s="3" t="s">
        <v>303</v>
      </c>
      <c r="X4" s="3" t="s">
        <v>304</v>
      </c>
      <c r="Y4" s="3" t="s">
        <v>305</v>
      </c>
      <c r="Z4" s="3" t="s">
        <v>306</v>
      </c>
      <c r="AA4" s="3" t="s">
        <v>307</v>
      </c>
      <c r="AB4" s="3" t="s">
        <v>308</v>
      </c>
      <c r="AC4" s="3" t="s">
        <v>309</v>
      </c>
      <c r="AD4" s="3" t="s">
        <v>46</v>
      </c>
      <c r="AE4" s="3" t="s">
        <v>47</v>
      </c>
      <c r="AF4" s="3" t="s">
        <v>41</v>
      </c>
      <c r="AG4" s="3" t="s">
        <v>310</v>
      </c>
      <c r="AH4" s="3" t="s">
        <v>311</v>
      </c>
      <c r="AI4" s="3" t="s">
        <v>312</v>
      </c>
      <c r="AJ4" s="3" t="s">
        <v>313</v>
      </c>
      <c r="AK4" s="3" t="s">
        <v>314</v>
      </c>
      <c r="AL4" s="3" t="s">
        <v>53</v>
      </c>
      <c r="AM4" s="3" t="s">
        <v>54</v>
      </c>
      <c r="AN4" s="3" t="s">
        <v>48</v>
      </c>
      <c r="AO4" s="3" t="s">
        <v>315</v>
      </c>
      <c r="AP4" s="3" t="s">
        <v>316</v>
      </c>
      <c r="AQ4" s="3" t="s">
        <v>317</v>
      </c>
      <c r="AR4" s="3"/>
      <c r="AS4" s="3"/>
      <c r="AT4" s="3"/>
      <c r="AU4" s="3"/>
      <c r="AV4" s="3"/>
      <c r="AW4" s="3"/>
      <c r="AX4" s="3"/>
      <c r="AY4" s="3"/>
      <c r="AZ4" s="3"/>
      <c r="BA4" s="3" t="s">
        <v>318</v>
      </c>
      <c r="BB4" s="3" t="s">
        <v>319</v>
      </c>
      <c r="BC4" s="3" t="s">
        <v>320</v>
      </c>
      <c r="BD4" s="3" t="s">
        <v>321</v>
      </c>
      <c r="BE4" s="3" t="s">
        <v>322</v>
      </c>
      <c r="BF4" s="3" t="s">
        <v>323</v>
      </c>
      <c r="BG4" s="3" t="s">
        <v>324</v>
      </c>
      <c r="BH4" s="3" t="s">
        <v>325</v>
      </c>
      <c r="BI4" s="3" t="s">
        <v>326</v>
      </c>
      <c r="BJ4" s="3" t="s">
        <v>327</v>
      </c>
      <c r="BK4" s="3" t="s">
        <v>328</v>
      </c>
    </row>
    <row r="5" spans="1:63" x14ac:dyDescent="0.3">
      <c r="A5" s="8" t="s">
        <v>60</v>
      </c>
      <c r="B5" s="12">
        <f>COUNTIF(Данные!$B$5:$B$216,$A5)</f>
        <v>44</v>
      </c>
      <c r="C5" s="12">
        <f>COUNTIFS(Данные!$B$5:$B$216,$A5,Данные!$C$5:$C$216,"F")</f>
        <v>12</v>
      </c>
      <c r="D5" s="12">
        <f>COUNTIFS(Данные!$B$5:$B$216,$A5,Данные!$C$5:$C$216,"M")</f>
        <v>32</v>
      </c>
      <c r="E5" s="11">
        <f>IF(D5=0,0,AVERAGEIFS(Данные!$M$5:$M$216,Данные!$B$5:$B$216,$A5,Данные!$C$5:$C$216,"M"))</f>
        <v>2987527.6096875002</v>
      </c>
      <c r="F5" s="11">
        <f>IF(C5=0,0,AVERAGEIFS(Данные!$M$5:$M$216,Данные!$B$5:$B$216,$A5,Данные!$C$5:$C$216,"F"))</f>
        <v>2654879.1697222223</v>
      </c>
      <c r="G5" s="11">
        <f>IF(B5=0,0,SUMIFS(Данные!$O$5:$O$216,Данные!$B$5:$B$216,$A5,Данные!$AD$5:$AD$216,1))</f>
        <v>2878288.9249999998</v>
      </c>
      <c r="H5" s="13">
        <f t="shared" ref="H5:H11" si="0">IF(OR(E5&lt;=0,C5=0,D5=0),0,(E5-F5)/E5*100)</f>
        <v>11.134572911949538</v>
      </c>
      <c r="I5" s="11">
        <f>IF(D5=0,0,(SUMIFS(Данные!$M$5:$M$216,Данные!$B$5:$B$216,$A5,Данные!$C$5:$C$216,"M",Данные!$AF$5:$AF$216,INT((D5+1)/2))+SUMIFS(Данные!$M$5:$M$216,Данные!$B$5:$B$216,$A5,Данные!$C$5:$C$216,"M",Данные!$AF$5:$AF$216,INT(D5/2)+1))/2)</f>
        <v>2952351.8850000002</v>
      </c>
      <c r="J5" s="11">
        <f>IF(C5=0,0,(SUMIFS(Данные!$M$5:$M$216,Данные!$B$5:$B$216,$A5,Данные!$C$5:$C$216,"F",Данные!$AF$5:$AF$216,INT((C5+1)/2))+SUMIFS(Данные!$M$5:$M$216,Данные!$B$5:$B$216,$A5,Данные!$C$5:$C$216,"F",Данные!$AF$5:$AF$216,INT(C5/2)+1))/2)</f>
        <v>2619082.9249999998</v>
      </c>
      <c r="K5" s="13">
        <f t="shared" ref="K5:K11" si="1">IF(OR(I5&lt;=0,C5=0,D5=0),0,(I5-J5)/I5*100)</f>
        <v>11.288253330954159</v>
      </c>
      <c r="L5" s="11">
        <f>IF(D5=0,0,AVERAGEIFS(Данные!$L$5:$L$216,Данные!$B$5:$B$216,$A5,Данные!$C$5:$C$216,"M"))</f>
        <v>322494.36125000002</v>
      </c>
      <c r="M5" s="11">
        <f>IF(C5=0,0,AVERAGEIFS(Данные!$L$5:$L$216,Данные!$B$5:$B$216,$A5,Данные!$C$5:$C$216,"F"))</f>
        <v>277905.98805555556</v>
      </c>
      <c r="N5" s="13">
        <f t="shared" ref="N5:N11" si="2">IF(OR(L5&lt;=0,C5=0,D5=0),0,(L5-M5)/L5*100)</f>
        <v>13.826093895601238</v>
      </c>
      <c r="O5" s="11">
        <f>IF(D5=0,0,AVERAGEIFS(Данные!$K$5:$K$216,Данные!$B$5:$B$216,$A5,Данные!$C$5:$C$216,"M"))</f>
        <v>2665033.2484375001</v>
      </c>
      <c r="P5" s="11">
        <f>IF(C5=0,0,AVERAGEIFS(Данные!$K$5:$K$216,Данные!$B$5:$B$216,$A5,Данные!$C$5:$C$216,"F"))</f>
        <v>2376973.1816666666</v>
      </c>
      <c r="Q5" s="13">
        <f t="shared" ref="Q5:Q11" si="3">IF(OR(O5&lt;=0,C5=0,D5=0),0,(O5-P5)/O5*100)</f>
        <v>10.808873282902647</v>
      </c>
      <c r="R5" s="10">
        <f>IF(B5&lt;2,0,SUMPRODUCT((Данные!$B$5:$B$216=$A5)*Данные!$G$5:$G$216*Данные!$G$5:$G$216)/B5-(SUMIFS(Данные!$G$5:$G$216,Данные!$B$5:$B$216,$A5)/B5)^2)</f>
        <v>2.0552685950413263</v>
      </c>
      <c r="S5" s="10">
        <f>IF(B5&lt;2,0,SUMPRODUCT((Данные!$B$5:$B$216=$A5)*Данные!$F$5:$F$216*Данные!$F$5:$F$216)/B5-(SUMIFS(Данные!$F$5:$F$216,Данные!$B$5:$B$216,$A5)/B5)^2)</f>
        <v>7.5030785123966979</v>
      </c>
      <c r="T5" s="12">
        <f t="shared" ref="T5:T11" si="4">IF(AND(B5&gt;=4,R5&gt;0.000000001,S5&gt;0.000000001),1,0)</f>
        <v>1</v>
      </c>
      <c r="U5" s="11">
        <f t="shared" ref="U5:U11" si="5">IF(OR(T5=0,ABS(BK5)&lt;0.000000001),0,((BH5-BB5*BD5/B5)*(BF5-BC5^2/B5)-(BI5-BC5*BD5/B5)*(BG5-BB5*BC5/B5))/BK5)</f>
        <v>341415.33793403947</v>
      </c>
      <c r="V5" s="11">
        <f t="shared" ref="V5:V11" si="6">IF(OR(T5=0,ABS(BK5)&lt;0.000000001),0,((BI5-BC5*BD5/B5)*(BE5-BB5^2/B5)-(BH5-BB5*BD5/B5)*(BG5-BB5*BC5/B5))/BK5)</f>
        <v>27157.181686971806</v>
      </c>
      <c r="W5" s="10">
        <f t="shared" ref="W5:W11" si="7">IF(OR(T5=0,ABS(BK5)&lt;0.000000001,(BJ5-BD5^2/B5)&lt;0.000000001),"",(U5*(BH5-BB5*BD5/B5)+V5*(BI5-BC5*BD5/B5))/(BJ5-BD5^2/B5))</f>
        <v>0.88827240694791254</v>
      </c>
      <c r="X5" s="13">
        <f>IF(H5&gt;=0,MAX(0,MIN(IF(OR(T5=0,E5&lt;=0),0,(U5*(IF(D5=0,0,AVERAGEIFS(Данные!$G$5:$G$216,Данные!$B$5:$B$216,$A5,Данные!$C$5:$C$216,"M"))-IF(C5=0,0,AVERAGEIFS(Данные!$G$5:$G$216,Данные!$B$5:$B$216,$A5,Данные!$C$5:$C$216,"F")))+V5*(IF(D5=0,0,AVERAGEIFS(Данные!$F$5:$F$216,Данные!$B$5:$B$216,$A5,Данные!$C$5:$C$216,"M"))-IF(C5=0,0,AVERAGEIFS(Данные!$F$5:$F$216,Данные!$B$5:$B$216,$A5,Данные!$C$5:$C$216,"F"))))/E5*100),H5)),MIN(0,MAX(IF(OR(T5=0,E5&lt;=0),0,(U5*(IF(D5=0,0,AVERAGEIFS(Данные!$G$5:$G$216,Данные!$B$5:$B$216,$A5,Данные!$C$5:$C$216,"M"))-IF(C5=0,0,AVERAGEIFS(Данные!$G$5:$G$216,Данные!$B$5:$B$216,$A5,Данные!$C$5:$C$216,"F")))+V5*(IF(D5=0,0,AVERAGEIFS(Данные!$F$5:$F$216,Данные!$B$5:$B$216,$A5,Данные!$C$5:$C$216,"M"))-IF(C5=0,0,AVERAGEIFS(Данные!$F$5:$F$216,Данные!$B$5:$B$216,$A5,Данные!$C$5:$C$216,"F"))))/E5*100),H5)))</f>
        <v>2.0545465734125852</v>
      </c>
      <c r="Y5" s="13">
        <f t="shared" ref="Y5:Y11" si="8">H5-X5</f>
        <v>9.0800263385369533</v>
      </c>
      <c r="Z5" s="12">
        <f t="shared" ref="Z5:Z11" si="9">IF(AND(H5&gt;=0,Y5&gt;threshold_pct),1,0)</f>
        <v>1</v>
      </c>
      <c r="AA5" s="11">
        <f>IF(Z5=0,0,SUMIFS(Данные!$Q$5:$Q$216,Данные!$B$5:$B$216,$A5))</f>
        <v>3894152.5333333309</v>
      </c>
      <c r="AB5" s="11">
        <f t="shared" ref="AB5:AB11" si="10">IF(Z5=0,0,(Y5-threshold_pct)/100*E5*C5)</f>
        <v>1462702.9601557616</v>
      </c>
      <c r="AC5" s="11">
        <f>SUMIFS(Данные!$T$5:$T$216,Данные!$B$5:$B$216,$A5)</f>
        <v>1397147.8938084256</v>
      </c>
      <c r="AD5" s="11">
        <f>SUMIFS(Данные!$U$5:$U$216,Данные!$B$5:$B$216,$A5)</f>
        <v>419144.36814252764</v>
      </c>
      <c r="AE5" s="11">
        <f t="shared" ref="AE5:AE11" si="11">AC5+AD5</f>
        <v>1816292.2619509534</v>
      </c>
      <c r="AF5" s="12">
        <f>SUMIFS(Данные!$P$5:$P$216,Данные!$B$5:$B$216,$A5)</f>
        <v>8</v>
      </c>
      <c r="AG5" s="13">
        <f>IF(E5&lt;=0,0,(E5-(IF(C5=0,0,AVERAGEIFS(Данные!$M$5:$M$216,Данные!$B$5:$B$216,$A5,Данные!$C$5:$C$216,"F"))+IF(C5=0,0,SUMIFS(Данные!$S$5:$S$216,Данные!$B$5:$B$216,$A5,Данные!$C$5:$C$216,"F")/C5)))/E5*100-X5)</f>
        <v>5.0000000000000018</v>
      </c>
      <c r="AH5" s="12">
        <f t="shared" ref="AH5:AH11" si="12">IF(AND(H5&gt;=0,Y5&gt;0),1,0)</f>
        <v>1</v>
      </c>
      <c r="AI5" s="11">
        <f>IF(AH5=0,0,SUMIFS(Данные!$X$5:$X$216,Данные!$B$5:$B$216,$A5))</f>
        <v>3894152.5333333309</v>
      </c>
      <c r="AJ5" s="11">
        <f t="shared" ref="AJ5:AJ11" si="13">IF(AH5=0,0,Y5/100*E5*C5)</f>
        <v>3255219.5259682615</v>
      </c>
      <c r="AK5" s="11">
        <f>SUMIFS(Данные!$AA$5:$AA$216,Данные!$B$5:$B$216,$A5)</f>
        <v>3109327.8871236467</v>
      </c>
      <c r="AL5" s="11">
        <f>SUMIFS(Данные!$AB$5:$AB$216,Данные!$B$5:$B$216,$A5)</f>
        <v>932798.36613709398</v>
      </c>
      <c r="AM5" s="11">
        <f t="shared" ref="AM5:AM11" si="14">AK5+AL5</f>
        <v>4042126.2532607405</v>
      </c>
      <c r="AN5" s="12">
        <f>SUMIFS(Данные!$W$5:$W$216,Данные!$B$5:$B$216,$A5)</f>
        <v>8</v>
      </c>
      <c r="AO5" s="13">
        <f>IF(E5&lt;=0,0,(E5-(IF(C5=0,0,AVERAGEIFS(Данные!$M$5:$M$216,Данные!$B$5:$B$216,$A5,Данные!$C$5:$C$216,"F"))+IF(C5=0,0,SUMIFS(Данные!$Z$5:$Z$216,Данные!$B$5:$B$216,$A5,Данные!$C$5:$C$216,"F")/C5)))/E5*100-X5)</f>
        <v>-3.5527136788005009E-15</v>
      </c>
      <c r="AP5" s="12">
        <f t="shared" ref="AP5:AP11" si="15">IF(OR(B5&lt;10,C5&lt;3,D5&lt;3),1,0)</f>
        <v>0</v>
      </c>
      <c r="AQ5" s="12">
        <f t="shared" ref="AQ5:AQ11" si="16">IF(H5&lt;0,1,0)</f>
        <v>0</v>
      </c>
      <c r="BA5" s="10">
        <f t="shared" ref="BA5:BA11" si="17">B5</f>
        <v>44</v>
      </c>
      <c r="BB5" s="10">
        <f>SUMIFS(Данные!$G$5:$G$216,Данные!$B$5:$B$216,$A5)</f>
        <v>401</v>
      </c>
      <c r="BC5" s="10">
        <f>SUMIFS(Данные!$F$5:$F$216,Данные!$B$5:$B$216,$A5)</f>
        <v>305</v>
      </c>
      <c r="BD5" s="10">
        <f>SUMIFS(Данные!$M$5:$M$216,Данные!$B$5:$B$216,$A5)</f>
        <v>127459433.54666668</v>
      </c>
      <c r="BE5" s="10">
        <f>SUMPRODUCT((Данные!$B$5:$B$216=$A5)*Данные!$G$5:$G$216*Данные!$G$5:$G$216)</f>
        <v>3745</v>
      </c>
      <c r="BF5" s="10">
        <f>SUMPRODUCT((Данные!$B$5:$B$216=$A5)*Данные!$F$5:$F$216*Данные!$F$5:$F$216)</f>
        <v>2444.34</v>
      </c>
      <c r="BG5" s="10">
        <f>SUMPRODUCT((Данные!$B$5:$B$216=$A5)*Данные!$G$5:$G$216*Данные!$F$5:$F$216)</f>
        <v>2917.1</v>
      </c>
      <c r="BH5" s="10">
        <f>SUMPRODUCT((Данные!$B$5:$B$216=$A5)*Данные!$G$5:$G$216*Данные!$M$5:$M$216)</f>
        <v>1196226245.9633336</v>
      </c>
      <c r="BI5" s="10">
        <f>SUMPRODUCT((Данные!$B$5:$B$216=$A5)*Данные!$F$5:$F$216*Данные!$M$5:$M$216)</f>
        <v>939415601.84666657</v>
      </c>
      <c r="BJ5" s="10">
        <f>SUMPRODUCT((Данные!$B$5:$B$216=$A5)*Данные!$M$5:$M$216*Данные!$M$5:$M$216)</f>
        <v>384235517800626</v>
      </c>
      <c r="BK5" s="10">
        <f t="shared" ref="BK5:BK11" si="18">IF(T5=0,0,((BE5-BB5^2/B5)*(BF5-BC5^2/B5)-(BG5-BB5*BC5/B5)^2))</f>
        <v>10964.745909090911</v>
      </c>
    </row>
    <row r="6" spans="1:63" x14ac:dyDescent="0.3">
      <c r="A6" s="8" t="s">
        <v>107</v>
      </c>
      <c r="B6" s="12">
        <f>COUNTIF(Данные!$B$5:$B$216,$A6)</f>
        <v>38</v>
      </c>
      <c r="C6" s="12">
        <f>COUNTIFS(Данные!$B$5:$B$216,$A6,Данные!$C$5:$C$216,"F")</f>
        <v>19</v>
      </c>
      <c r="D6" s="12">
        <f>COUNTIFS(Данные!$B$5:$B$216,$A6,Данные!$C$5:$C$216,"M")</f>
        <v>19</v>
      </c>
      <c r="E6" s="11">
        <f>IF(D6=0,0,AVERAGEIFS(Данные!$M$5:$M$216,Данные!$B$5:$B$216,$A6,Данные!$C$5:$C$216,"M"))</f>
        <v>2314946.3771403516</v>
      </c>
      <c r="F6" s="11">
        <f>IF(C6=0,0,AVERAGEIFS(Данные!$M$5:$M$216,Данные!$B$5:$B$216,$A6,Данные!$C$5:$C$216,"F"))</f>
        <v>2050219.7178947369</v>
      </c>
      <c r="G6" s="11">
        <f>IF(B6=0,0,SUMIFS(Данные!$O$5:$O$216,Данные!$B$5:$B$216,$A6,Данные!$AD$5:$AD$216,1))</f>
        <v>2090862.25</v>
      </c>
      <c r="H6" s="13">
        <f t="shared" si="0"/>
        <v>11.435541741257564</v>
      </c>
      <c r="I6" s="11">
        <f>IF(D6=0,0,(SUMIFS(Данные!$M$5:$M$216,Данные!$B$5:$B$216,$A6,Данные!$C$5:$C$216,"M",Данные!$AF$5:$AF$216,INT((D6+1)/2))+SUMIFS(Данные!$M$5:$M$216,Данные!$B$5:$B$216,$A6,Данные!$C$5:$C$216,"M",Данные!$AF$5:$AF$216,INT(D6/2)+1))/2)</f>
        <v>2280181.344</v>
      </c>
      <c r="J6" s="11">
        <f>IF(C6=0,0,(SUMIFS(Данные!$M$5:$M$216,Данные!$B$5:$B$216,$A6,Данные!$C$5:$C$216,"F",Данные!$AF$5:$AF$216,INT((C6+1)/2))+SUMIFS(Данные!$M$5:$M$216,Данные!$B$5:$B$216,$A6,Данные!$C$5:$C$216,"F",Данные!$AF$5:$AF$216,INT(C6/2)+1))/2)</f>
        <v>1845702.84</v>
      </c>
      <c r="K6" s="13">
        <f t="shared" si="1"/>
        <v>19.054559197375838</v>
      </c>
      <c r="L6" s="11">
        <f>IF(D6=0,0,AVERAGEIFS(Данные!$L$5:$L$216,Данные!$B$5:$B$216,$A6,Данные!$C$5:$C$216,"M"))</f>
        <v>169048.63608771926</v>
      </c>
      <c r="M6" s="11">
        <f>IF(C6=0,0,AVERAGEIFS(Данные!$L$5:$L$216,Данные!$B$5:$B$216,$A6,Данные!$C$5:$C$216,"F"))</f>
        <v>148476.89947368423</v>
      </c>
      <c r="N6" s="13">
        <f t="shared" si="2"/>
        <v>12.169123093877179</v>
      </c>
      <c r="O6" s="11">
        <f>IF(D6=0,0,AVERAGEIFS(Данные!$K$5:$K$216,Данные!$B$5:$B$216,$A6,Данные!$C$5:$C$216,"M"))</f>
        <v>2145897.7410526313</v>
      </c>
      <c r="P6" s="11">
        <f>IF(C6=0,0,AVERAGEIFS(Данные!$K$5:$K$216,Данные!$B$5:$B$216,$A6,Данные!$C$5:$C$216,"F"))</f>
        <v>1901742.8184210528</v>
      </c>
      <c r="Q6" s="13">
        <f t="shared" si="3"/>
        <v>11.377751975814689</v>
      </c>
      <c r="R6" s="10">
        <f>IF(B6&lt;2,0,SUMPRODUCT((Данные!$B$5:$B$216=$A6)*Данные!$G$5:$G$216*Данные!$G$5:$G$216)/B6-(SUMIFS(Данные!$G$5:$G$216,Данные!$B$5:$B$216,$A6)/B6)^2)</f>
        <v>2.1724376731301902</v>
      </c>
      <c r="S6" s="10">
        <f>IF(B6&lt;2,0,SUMPRODUCT((Данные!$B$5:$B$216=$A6)*Данные!$F$5:$F$216*Данные!$F$5:$F$216)/B6-(SUMIFS(Данные!$F$5:$F$216,Данные!$B$5:$B$216,$A6)/B6)^2)</f>
        <v>5.9626869806094085</v>
      </c>
      <c r="T6" s="12">
        <f t="shared" si="4"/>
        <v>1</v>
      </c>
      <c r="U6" s="11">
        <f t="shared" si="5"/>
        <v>286999.29583841393</v>
      </c>
      <c r="V6" s="11">
        <f t="shared" si="6"/>
        <v>17751.043299661422</v>
      </c>
      <c r="W6" s="10">
        <f t="shared" si="7"/>
        <v>0.94277341661892855</v>
      </c>
      <c r="X6" s="13">
        <f>IF(H6&gt;=0,MAX(0,MIN(IF(OR(T6=0,E6&lt;=0),0,(U6*(IF(D6=0,0,AVERAGEIFS(Данные!$G$5:$G$216,Данные!$B$5:$B$216,$A6,Данные!$C$5:$C$216,"M"))-IF(C6=0,0,AVERAGEIFS(Данные!$G$5:$G$216,Данные!$B$5:$B$216,$A6,Данные!$C$5:$C$216,"F")))+V6*(IF(D6=0,0,AVERAGEIFS(Данные!$F$5:$F$216,Данные!$B$5:$B$216,$A6,Данные!$C$5:$C$216,"M"))-IF(C6=0,0,AVERAGEIFS(Данные!$F$5:$F$216,Данные!$B$5:$B$216,$A6,Данные!$C$5:$C$216,"F"))))/E6*100),H6)),MIN(0,MAX(IF(OR(T6=0,E6&lt;=0),0,(U6*(IF(D6=0,0,AVERAGEIFS(Данные!$G$5:$G$216,Данные!$B$5:$B$216,$A6,Данные!$C$5:$C$216,"M"))-IF(C6=0,0,AVERAGEIFS(Данные!$G$5:$G$216,Данные!$B$5:$B$216,$A6,Данные!$C$5:$C$216,"F")))+V6*(IF(D6=0,0,AVERAGEIFS(Данные!$F$5:$F$216,Данные!$B$5:$B$216,$A6,Данные!$C$5:$C$216,"M"))-IF(C6=0,0,AVERAGEIFS(Данные!$F$5:$F$216,Данные!$B$5:$B$216,$A6,Данные!$C$5:$C$216,"F"))))/E6*100),H6)))</f>
        <v>9.9597146837778503</v>
      </c>
      <c r="Y6" s="13">
        <f t="shared" si="8"/>
        <v>1.4758270574797141</v>
      </c>
      <c r="Z6" s="12">
        <f t="shared" si="9"/>
        <v>0</v>
      </c>
      <c r="AA6" s="11">
        <f>IF(Z6=0,0,SUMIFS(Данные!$Q$5:$Q$216,Данные!$B$5:$B$216,$A6))</f>
        <v>0</v>
      </c>
      <c r="AB6" s="11">
        <f t="shared" si="10"/>
        <v>0</v>
      </c>
      <c r="AC6" s="11">
        <f>SUMIFS(Данные!$T$5:$T$216,Данные!$B$5:$B$216,$A6)</f>
        <v>0</v>
      </c>
      <c r="AD6" s="11">
        <f>SUMIFS(Данные!$U$5:$U$216,Данные!$B$5:$B$216,$A6)</f>
        <v>0</v>
      </c>
      <c r="AE6" s="11">
        <f t="shared" si="11"/>
        <v>0</v>
      </c>
      <c r="AF6" s="12">
        <f>SUMIFS(Данные!$P$5:$P$216,Данные!$B$5:$B$216,$A6)</f>
        <v>0</v>
      </c>
      <c r="AG6" s="13">
        <f>IF(E6&lt;=0,0,(E6-(IF(C6=0,0,AVERAGEIFS(Данные!$M$5:$M$216,Данные!$B$5:$B$216,$A6,Данные!$C$5:$C$216,"F"))+IF(C6=0,0,SUMIFS(Данные!$S$5:$S$216,Данные!$B$5:$B$216,$A6,Данные!$C$5:$C$216,"F")/C6)))/E6*100-X6)</f>
        <v>1.4758270574797141</v>
      </c>
      <c r="AH6" s="12">
        <f t="shared" si="12"/>
        <v>1</v>
      </c>
      <c r="AI6" s="11">
        <f>IF(AH6=0,0,SUMIFS(Данные!$X$5:$X$216,Данные!$B$5:$B$216,$A6))</f>
        <v>3788948.8599999994</v>
      </c>
      <c r="AJ6" s="11">
        <f t="shared" si="13"/>
        <v>649127.49499969021</v>
      </c>
      <c r="AK6" s="11">
        <f>SUMIFS(Данные!$AA$5:$AA$216,Данные!$B$5:$B$216,$A6)</f>
        <v>649127.49499969021</v>
      </c>
      <c r="AL6" s="11">
        <f>SUMIFS(Данные!$AB$5:$AB$216,Данные!$B$5:$B$216,$A6)</f>
        <v>194738.24849990709</v>
      </c>
      <c r="AM6" s="11">
        <f t="shared" si="14"/>
        <v>843865.7434995973</v>
      </c>
      <c r="AN6" s="12">
        <f>SUMIFS(Данные!$W$5:$W$216,Данные!$B$5:$B$216,$A6)</f>
        <v>12</v>
      </c>
      <c r="AO6" s="13">
        <f>IF(E6&lt;=0,0,(E6-(IF(C6=0,0,AVERAGEIFS(Данные!$M$5:$M$216,Данные!$B$5:$B$216,$A6,Данные!$C$5:$C$216,"F"))+IF(C6=0,0,SUMIFS(Данные!$Z$5:$Z$216,Данные!$B$5:$B$216,$A6,Данные!$C$5:$C$216,"F")/C6)))/E6*100-X6)</f>
        <v>0</v>
      </c>
      <c r="AP6" s="12">
        <f t="shared" si="15"/>
        <v>0</v>
      </c>
      <c r="AQ6" s="12">
        <f t="shared" si="16"/>
        <v>0</v>
      </c>
      <c r="BA6" s="10">
        <f t="shared" si="17"/>
        <v>38</v>
      </c>
      <c r="BB6" s="10">
        <f>SUMIFS(Данные!$G$5:$G$216,Данные!$B$5:$B$216,$A6)</f>
        <v>253</v>
      </c>
      <c r="BC6" s="10">
        <f>SUMIFS(Данные!$F$5:$F$216,Данные!$B$5:$B$216,$A6)</f>
        <v>214.00000000000006</v>
      </c>
      <c r="BD6" s="10">
        <f>SUMIFS(Данные!$M$5:$M$216,Данные!$B$5:$B$216,$A6)</f>
        <v>82938155.80566664</v>
      </c>
      <c r="BE6" s="10">
        <f>SUMPRODUCT((Данные!$B$5:$B$216=$A6)*Данные!$G$5:$G$216*Данные!$G$5:$G$216)</f>
        <v>1767</v>
      </c>
      <c r="BF6" s="10">
        <f>SUMPRODUCT((Данные!$B$5:$B$216=$A6)*Данные!$F$5:$F$216*Данные!$F$5:$F$216)</f>
        <v>1431.74</v>
      </c>
      <c r="BG6" s="10">
        <f>SUMPRODUCT((Данные!$B$5:$B$216=$A6)*Данные!$G$5:$G$216*Данные!$F$5:$F$216)</f>
        <v>1527.5</v>
      </c>
      <c r="BH6" s="10">
        <f>SUMPRODUCT((Данные!$B$5:$B$216=$A6)*Данные!$G$5:$G$216*Данные!$M$5:$M$216)</f>
        <v>577709277.1546669</v>
      </c>
      <c r="BI6" s="10">
        <f>SUMPRODUCT((Данные!$B$5:$B$216=$A6)*Данные!$F$5:$F$216*Данные!$M$5:$M$216)</f>
        <v>500572689.65803349</v>
      </c>
      <c r="BJ6" s="10">
        <f>SUMPRODUCT((Данные!$B$5:$B$216=$A6)*Данные!$M$5:$M$216*Данные!$M$5:$M$216)</f>
        <v>189417682532604.59</v>
      </c>
      <c r="BK6" s="10">
        <f t="shared" si="18"/>
        <v>8155.4968421052581</v>
      </c>
    </row>
    <row r="7" spans="1:63" x14ac:dyDescent="0.3">
      <c r="A7" s="8" t="s">
        <v>146</v>
      </c>
      <c r="B7" s="12">
        <f>COUNTIF(Данные!$B$5:$B$216,$A7)</f>
        <v>8</v>
      </c>
      <c r="C7" s="12">
        <f>COUNTIFS(Данные!$B$5:$B$216,$A7,Данные!$C$5:$C$216,"F")</f>
        <v>3</v>
      </c>
      <c r="D7" s="12">
        <f>COUNTIFS(Данные!$B$5:$B$216,$A7,Данные!$C$5:$C$216,"M")</f>
        <v>5</v>
      </c>
      <c r="E7" s="11">
        <f>IF(D7=0,0,AVERAGEIFS(Данные!$M$5:$M$216,Данные!$B$5:$B$216,$A7,Данные!$C$5:$C$216,"M"))</f>
        <v>3717394.5880000005</v>
      </c>
      <c r="F7" s="11">
        <f>IF(C7=0,0,AVERAGEIFS(Данные!$M$5:$M$216,Данные!$B$5:$B$216,$A7,Данные!$C$5:$C$216,"F"))</f>
        <v>3143268.293333333</v>
      </c>
      <c r="G7" s="11">
        <f>IF(B7=0,0,SUMIFS(Данные!$O$5:$O$216,Данные!$B$5:$B$216,$A7,Данные!$AD$5:$AD$216,1))</f>
        <v>3304474.79</v>
      </c>
      <c r="H7" s="13">
        <f t="shared" si="0"/>
        <v>15.444319430602974</v>
      </c>
      <c r="I7" s="11">
        <f>IF(D7=0,0,(SUMIFS(Данные!$M$5:$M$216,Данные!$B$5:$B$216,$A7,Данные!$C$5:$C$216,"M",Данные!$AF$5:$AF$216,INT((D7+1)/2))+SUMIFS(Данные!$M$5:$M$216,Данные!$B$5:$B$216,$A7,Данные!$C$5:$C$216,"M",Данные!$AF$5:$AF$216,INT(D7/2)+1))/2)</f>
        <v>3806944.96</v>
      </c>
      <c r="J7" s="11">
        <f>IF(C7=0,0,(SUMIFS(Данные!$M$5:$M$216,Данные!$B$5:$B$216,$A7,Данные!$C$5:$C$216,"F",Данные!$AF$5:$AF$216,INT((C7+1)/2))+SUMIFS(Данные!$M$5:$M$216,Данные!$B$5:$B$216,$A7,Данные!$C$5:$C$216,"F",Данные!$AF$5:$AF$216,INT(C7/2)+1))/2)</f>
        <v>3167240.01</v>
      </c>
      <c r="K7" s="13">
        <f t="shared" si="1"/>
        <v>16.80363012130336</v>
      </c>
      <c r="L7" s="11">
        <f>IF(D7=0,0,AVERAGEIFS(Данные!$L$5:$L$216,Данные!$B$5:$B$216,$A7,Данные!$C$5:$C$216,"M"))</f>
        <v>470862.28599999996</v>
      </c>
      <c r="M7" s="11">
        <f>IF(C7=0,0,AVERAGEIFS(Данные!$L$5:$L$216,Данные!$B$5:$B$216,$A7,Данные!$C$5:$C$216,"F"))</f>
        <v>447365.63999999996</v>
      </c>
      <c r="N7" s="13">
        <f t="shared" si="2"/>
        <v>4.990131233402713</v>
      </c>
      <c r="O7" s="11">
        <f>IF(D7=0,0,AVERAGEIFS(Данные!$K$5:$K$216,Данные!$B$5:$B$216,$A7,Данные!$C$5:$C$216,"M"))</f>
        <v>3246532.3019999997</v>
      </c>
      <c r="P7" s="11">
        <f>IF(C7=0,0,AVERAGEIFS(Данные!$K$5:$K$216,Данные!$B$5:$B$216,$A7,Данные!$C$5:$C$216,"F"))</f>
        <v>2695902.6533333329</v>
      </c>
      <c r="Q7" s="13">
        <f t="shared" si="3"/>
        <v>16.960547360870425</v>
      </c>
      <c r="R7" s="10">
        <f>IF(B7&lt;2,0,SUMPRODUCT((Данные!$B$5:$B$216=$A7)*Данные!$G$5:$G$216*Данные!$G$5:$G$216)/B7-(SUMIFS(Данные!$G$5:$G$216,Данные!$B$5:$B$216,$A7)/B7)^2)</f>
        <v>0.859375</v>
      </c>
      <c r="S7" s="10">
        <f>IF(B7&lt;2,0,SUMPRODUCT((Данные!$B$5:$B$216=$A7)*Данные!$F$5:$F$216*Данные!$F$5:$F$216)/B7-(SUMIFS(Данные!$F$5:$F$216,Данные!$B$5:$B$216,$A7)/B7)^2)</f>
        <v>5.7773437500000107</v>
      </c>
      <c r="T7" s="12">
        <f t="shared" si="4"/>
        <v>1</v>
      </c>
      <c r="U7" s="11">
        <f t="shared" si="5"/>
        <v>489641.84576923557</v>
      </c>
      <c r="V7" s="11">
        <f t="shared" si="6"/>
        <v>38882.21824403006</v>
      </c>
      <c r="W7" s="10">
        <f t="shared" si="7"/>
        <v>0.90431360308080166</v>
      </c>
      <c r="X7" s="13">
        <f>IF(H7&gt;=0,MAX(0,MIN(IF(OR(T7=0,E7&lt;=0),0,(U7*(IF(D7=0,0,AVERAGEIFS(Данные!$G$5:$G$216,Данные!$B$5:$B$216,$A7,Данные!$C$5:$C$216,"M"))-IF(C7=0,0,AVERAGEIFS(Данные!$G$5:$G$216,Данные!$B$5:$B$216,$A7,Данные!$C$5:$C$216,"F")))+V7*(IF(D7=0,0,AVERAGEIFS(Данные!$F$5:$F$216,Данные!$B$5:$B$216,$A7,Данные!$C$5:$C$216,"M"))-IF(C7=0,0,AVERAGEIFS(Данные!$F$5:$F$216,Данные!$B$5:$B$216,$A7,Данные!$C$5:$C$216,"F"))))/E7*100),H7)),MIN(0,MAX(IF(OR(T7=0,E7&lt;=0),0,(U7*(IF(D7=0,0,AVERAGEIFS(Данные!$G$5:$G$216,Данные!$B$5:$B$216,$A7,Данные!$C$5:$C$216,"M"))-IF(C7=0,0,AVERAGEIFS(Данные!$G$5:$G$216,Данные!$B$5:$B$216,$A7,Данные!$C$5:$C$216,"F")))+V7*(IF(D7=0,0,AVERAGEIFS(Данные!$F$5:$F$216,Данные!$B$5:$B$216,$A7,Данные!$C$5:$C$216,"M"))-IF(C7=0,0,AVERAGEIFS(Данные!$F$5:$F$216,Данные!$B$5:$B$216,$A7,Данные!$C$5:$C$216,"F"))))/E7*100),H7)))</f>
        <v>8.8851973493231338</v>
      </c>
      <c r="Y7" s="13">
        <f t="shared" si="8"/>
        <v>6.5591220812798401</v>
      </c>
      <c r="Z7" s="12">
        <f t="shared" si="9"/>
        <v>1</v>
      </c>
      <c r="AA7" s="11">
        <f>IF(Z7=0,0,SUMIFS(Данные!$Q$5:$Q$216,Данные!$B$5:$B$216,$A7))</f>
        <v>483619.49000000022</v>
      </c>
      <c r="AB7" s="11">
        <f t="shared" si="10"/>
        <v>173876.15960942922</v>
      </c>
      <c r="AC7" s="11">
        <f>SUMIFS(Данные!$T$5:$T$216,Данные!$B$5:$B$216,$A7)</f>
        <v>173876.15960942922</v>
      </c>
      <c r="AD7" s="11">
        <f>SUMIFS(Данные!$U$5:$U$216,Данные!$B$5:$B$216,$A7)</f>
        <v>52162.847882828763</v>
      </c>
      <c r="AE7" s="11">
        <f t="shared" si="11"/>
        <v>226039.00749225798</v>
      </c>
      <c r="AF7" s="12">
        <f>SUMIFS(Данные!$P$5:$P$216,Данные!$B$5:$B$216,$A7)</f>
        <v>3</v>
      </c>
      <c r="AG7" s="13">
        <f>IF(E7&lt;=0,0,(E7-(IF(C7=0,0,AVERAGEIFS(Данные!$M$5:$M$216,Данные!$B$5:$B$216,$A7,Данные!$C$5:$C$216,"F"))+IF(C7=0,0,SUMIFS(Данные!$S$5:$S$216,Данные!$B$5:$B$216,$A7,Данные!$C$5:$C$216,"F")/C7)))/E7*100-X7)</f>
        <v>5.0000000000000018</v>
      </c>
      <c r="AH7" s="12">
        <f t="shared" si="12"/>
        <v>1</v>
      </c>
      <c r="AI7" s="11">
        <f>IF(AH7=0,0,SUMIFS(Данные!$X$5:$X$216,Данные!$B$5:$B$216,$A7))</f>
        <v>483619.49000000022</v>
      </c>
      <c r="AJ7" s="11">
        <f t="shared" si="13"/>
        <v>731485.3478094294</v>
      </c>
      <c r="AK7" s="11">
        <f>SUMIFS(Данные!$AA$5:$AA$216,Данные!$B$5:$B$216,$A7)</f>
        <v>731485.34780942928</v>
      </c>
      <c r="AL7" s="11">
        <f>SUMIFS(Данные!$AB$5:$AB$216,Данные!$B$5:$B$216,$A7)</f>
        <v>207625.53255636129</v>
      </c>
      <c r="AM7" s="11">
        <f t="shared" si="14"/>
        <v>939110.88036579057</v>
      </c>
      <c r="AN7" s="12">
        <f>SUMIFS(Данные!$W$5:$W$216,Данные!$B$5:$B$216,$A7)</f>
        <v>3</v>
      </c>
      <c r="AO7" s="13">
        <f>IF(E7&lt;=0,0,(E7-(IF(C7=0,0,AVERAGEIFS(Данные!$M$5:$M$216,Данные!$B$5:$B$216,$A7,Данные!$C$5:$C$216,"F"))+IF(C7=0,0,SUMIFS(Данные!$Z$5:$Z$216,Данные!$B$5:$B$216,$A7,Данные!$C$5:$C$216,"F")/C7)))/E7*100-X7)</f>
        <v>0</v>
      </c>
      <c r="AP7" s="12">
        <f t="shared" si="15"/>
        <v>1</v>
      </c>
      <c r="AQ7" s="12">
        <f t="shared" si="16"/>
        <v>0</v>
      </c>
      <c r="BA7" s="10">
        <f t="shared" si="17"/>
        <v>8</v>
      </c>
      <c r="BB7" s="10">
        <f>SUMIFS(Данные!$G$5:$G$216,Данные!$B$5:$B$216,$A7)</f>
        <v>81</v>
      </c>
      <c r="BC7" s="10">
        <f>SUMIFS(Данные!$F$5:$F$216,Данные!$B$5:$B$216,$A7)</f>
        <v>45.099999999999994</v>
      </c>
      <c r="BD7" s="10">
        <f>SUMIFS(Данные!$M$5:$M$216,Данные!$B$5:$B$216,$A7)</f>
        <v>28016777.82</v>
      </c>
      <c r="BE7" s="10">
        <f>SUMPRODUCT((Данные!$B$5:$B$216=$A7)*Данные!$G$5:$G$216*Данные!$G$5:$G$216)</f>
        <v>827</v>
      </c>
      <c r="BF7" s="10">
        <f>SUMPRODUCT((Данные!$B$5:$B$216=$A7)*Данные!$F$5:$F$216*Данные!$F$5:$F$216)</f>
        <v>300.47000000000003</v>
      </c>
      <c r="BG7" s="10">
        <f>SUMPRODUCT((Данные!$B$5:$B$216=$A7)*Данные!$G$5:$G$216*Данные!$F$5:$F$216)</f>
        <v>465.7</v>
      </c>
      <c r="BH7" s="10">
        <f>SUMPRODUCT((Данные!$B$5:$B$216=$A7)*Данные!$G$5:$G$216*Данные!$M$5:$M$216)</f>
        <v>287388533.22000003</v>
      </c>
      <c r="BI7" s="10">
        <f>SUMPRODUCT((Данные!$B$5:$B$216=$A7)*Данные!$F$5:$F$216*Данные!$M$5:$M$216)</f>
        <v>164179051.71199998</v>
      </c>
      <c r="BJ7" s="10">
        <f>SUMPRODUCT((Данные!$B$5:$B$216=$A7)*Данные!$M$5:$M$216*Данные!$M$5:$M$216)</f>
        <v>100399011859137.42</v>
      </c>
      <c r="BK7" s="10">
        <f t="shared" si="18"/>
        <v>235.62499999999955</v>
      </c>
    </row>
    <row r="8" spans="1:63" x14ac:dyDescent="0.3">
      <c r="A8" s="8" t="s">
        <v>155</v>
      </c>
      <c r="B8" s="12">
        <f>COUNTIF(Данные!$B$5:$B$216,$A8)</f>
        <v>26</v>
      </c>
      <c r="C8" s="12">
        <f>COUNTIFS(Данные!$B$5:$B$216,$A8,Данные!$C$5:$C$216,"F")</f>
        <v>12</v>
      </c>
      <c r="D8" s="12">
        <f>COUNTIFS(Данные!$B$5:$B$216,$A8,Данные!$C$5:$C$216,"M")</f>
        <v>14</v>
      </c>
      <c r="E8" s="11">
        <f>IF(D8=0,0,AVERAGEIFS(Данные!$M$5:$M$216,Данные!$B$5:$B$216,$A8,Данные!$C$5:$C$216,"M"))</f>
        <v>2735830.7642857144</v>
      </c>
      <c r="F8" s="11">
        <f>IF(C8=0,0,AVERAGEIFS(Данные!$M$5:$M$216,Данные!$B$5:$B$216,$A8,Данные!$C$5:$C$216,"F"))</f>
        <v>3108957.9083333332</v>
      </c>
      <c r="G8" s="11">
        <f>IF(B8=0,0,SUMIFS(Данные!$O$5:$O$216,Данные!$B$5:$B$216,$A8,Данные!$AD$5:$AD$216,1))</f>
        <v>3024133.6550000003</v>
      </c>
      <c r="H8" s="13">
        <f t="shared" si="0"/>
        <v>-13.638531626974991</v>
      </c>
      <c r="I8" s="11">
        <f>IF(D8=0,0,(SUMIFS(Данные!$M$5:$M$216,Данные!$B$5:$B$216,$A8,Данные!$C$5:$C$216,"M",Данные!$AF$5:$AF$216,INT((D8+1)/2))+SUMIFS(Данные!$M$5:$M$216,Данные!$B$5:$B$216,$A8,Данные!$C$5:$C$216,"M",Данные!$AF$5:$AF$216,INT(D8/2)+1))/2)</f>
        <v>2734253.0949999997</v>
      </c>
      <c r="J8" s="11">
        <f>IF(C8=0,0,(SUMIFS(Данные!$M$5:$M$216,Данные!$B$5:$B$216,$A8,Данные!$C$5:$C$216,"F",Данные!$AF$5:$AF$216,INT((C8+1)/2))+SUMIFS(Данные!$M$5:$M$216,Данные!$B$5:$B$216,$A8,Данные!$C$5:$C$216,"F",Данные!$AF$5:$AF$216,INT(C8/2)+1))/2)</f>
        <v>3137735.2450000001</v>
      </c>
      <c r="K8" s="13">
        <f t="shared" si="1"/>
        <v>-14.75657651216814</v>
      </c>
      <c r="L8" s="11">
        <f>IF(D8=0,0,AVERAGEIFS(Данные!$L$5:$L$216,Данные!$B$5:$B$216,$A8,Данные!$C$5:$C$216,"M"))</f>
        <v>257825.17857142858</v>
      </c>
      <c r="M8" s="11">
        <f>IF(C8=0,0,AVERAGEIFS(Данные!$L$5:$L$216,Данные!$B$5:$B$216,$A8,Данные!$C$5:$C$216,"F"))</f>
        <v>280309.48166666663</v>
      </c>
      <c r="N8" s="13">
        <f t="shared" si="2"/>
        <v>-8.7207553660275821</v>
      </c>
      <c r="O8" s="11">
        <f>IF(D8=0,0,AVERAGEIFS(Данные!$K$5:$K$216,Данные!$B$5:$B$216,$A8,Данные!$C$5:$C$216,"M"))</f>
        <v>2478005.5857142853</v>
      </c>
      <c r="P8" s="11">
        <f>IF(C8=0,0,AVERAGEIFS(Данные!$K$5:$K$216,Данные!$B$5:$B$216,$A8,Данные!$C$5:$C$216,"F"))</f>
        <v>2828648.4266666672</v>
      </c>
      <c r="Q8" s="13">
        <f t="shared" si="3"/>
        <v>-14.150203816078532</v>
      </c>
      <c r="R8" s="10">
        <f>IF(B8&lt;2,0,SUMPRODUCT((Данные!$B$5:$B$216=$A8)*Данные!$G$5:$G$216*Данные!$G$5:$G$216)/B8-(SUMIFS(Данные!$G$5:$G$216,Данные!$B$5:$B$216,$A8)/B8)^2)</f>
        <v>1.7056213017751531</v>
      </c>
      <c r="S8" s="10">
        <f>IF(B8&lt;2,0,SUMPRODUCT((Данные!$B$5:$B$216=$A8)*Данные!$F$5:$F$216*Данные!$F$5:$F$216)/B8-(SUMIFS(Данные!$F$5:$F$216,Данные!$B$5:$B$216,$A8)/B8)^2)</f>
        <v>7.3016715976331312</v>
      </c>
      <c r="T8" s="12">
        <f t="shared" si="4"/>
        <v>1</v>
      </c>
      <c r="U8" s="11">
        <f t="shared" si="5"/>
        <v>266957.08227194223</v>
      </c>
      <c r="V8" s="11">
        <f t="shared" si="6"/>
        <v>34355.153282251282</v>
      </c>
      <c r="W8" s="10">
        <f t="shared" si="7"/>
        <v>0.8747952153646178</v>
      </c>
      <c r="X8" s="13">
        <f>IF(H8&gt;=0,MAX(0,MIN(IF(OR(T8=0,E8&lt;=0),0,(U8*(IF(D8=0,0,AVERAGEIFS(Данные!$G$5:$G$216,Данные!$B$5:$B$216,$A8,Данные!$C$5:$C$216,"M"))-IF(C8=0,0,AVERAGEIFS(Данные!$G$5:$G$216,Данные!$B$5:$B$216,$A8,Данные!$C$5:$C$216,"F")))+V8*(IF(D8=0,0,AVERAGEIFS(Данные!$F$5:$F$216,Данные!$B$5:$B$216,$A8,Данные!$C$5:$C$216,"M"))-IF(C8=0,0,AVERAGEIFS(Данные!$F$5:$F$216,Данные!$B$5:$B$216,$A8,Данные!$C$5:$C$216,"F"))))/E8*100),H8)),MIN(0,MAX(IF(OR(T8=0,E8&lt;=0),0,(U8*(IF(D8=0,0,AVERAGEIFS(Данные!$G$5:$G$216,Данные!$B$5:$B$216,$A8,Данные!$C$5:$C$216,"M"))-IF(C8=0,0,AVERAGEIFS(Данные!$G$5:$G$216,Данные!$B$5:$B$216,$A8,Данные!$C$5:$C$216,"F")))+V8*(IF(D8=0,0,AVERAGEIFS(Данные!$F$5:$F$216,Данные!$B$5:$B$216,$A8,Данные!$C$5:$C$216,"M"))-IF(C8=0,0,AVERAGEIFS(Данные!$F$5:$F$216,Данные!$B$5:$B$216,$A8,Данные!$C$5:$C$216,"F"))))/E8*100),H8)))</f>
        <v>-6.3388452729022369</v>
      </c>
      <c r="Y8" s="13">
        <f t="shared" si="8"/>
        <v>-7.2996863540727546</v>
      </c>
      <c r="Z8" s="12">
        <f t="shared" si="9"/>
        <v>0</v>
      </c>
      <c r="AA8" s="11">
        <f>IF(Z8=0,0,SUMIFS(Данные!$Q$5:$Q$216,Данные!$B$5:$B$216,$A8))</f>
        <v>0</v>
      </c>
      <c r="AB8" s="11">
        <f t="shared" si="10"/>
        <v>0</v>
      </c>
      <c r="AC8" s="11">
        <f>SUMIFS(Данные!$T$5:$T$216,Данные!$B$5:$B$216,$A8)</f>
        <v>0</v>
      </c>
      <c r="AD8" s="11">
        <f>SUMIFS(Данные!$U$5:$U$216,Данные!$B$5:$B$216,$A8)</f>
        <v>0</v>
      </c>
      <c r="AE8" s="11">
        <f t="shared" si="11"/>
        <v>0</v>
      </c>
      <c r="AF8" s="12">
        <f>SUMIFS(Данные!$P$5:$P$216,Данные!$B$5:$B$216,$A8)</f>
        <v>0</v>
      </c>
      <c r="AG8" s="13">
        <f>IF(E8&lt;=0,0,(E8-(IF(C8=0,0,AVERAGEIFS(Данные!$M$5:$M$216,Данные!$B$5:$B$216,$A8,Данные!$C$5:$C$216,"F"))+IF(C8=0,0,SUMIFS(Данные!$S$5:$S$216,Данные!$B$5:$B$216,$A8,Данные!$C$5:$C$216,"F")/C8)))/E8*100-X8)</f>
        <v>-7.2996863540727546</v>
      </c>
      <c r="AH8" s="12">
        <f t="shared" si="12"/>
        <v>0</v>
      </c>
      <c r="AI8" s="11">
        <f>IF(AH8=0,0,SUMIFS(Данные!$X$5:$X$216,Данные!$B$5:$B$216,$A8))</f>
        <v>0</v>
      </c>
      <c r="AJ8" s="11">
        <f t="shared" si="13"/>
        <v>0</v>
      </c>
      <c r="AK8" s="11">
        <f>SUMIFS(Данные!$AA$5:$AA$216,Данные!$B$5:$B$216,$A8)</f>
        <v>0</v>
      </c>
      <c r="AL8" s="11">
        <f>SUMIFS(Данные!$AB$5:$AB$216,Данные!$B$5:$B$216,$A8)</f>
        <v>0</v>
      </c>
      <c r="AM8" s="11">
        <f t="shared" si="14"/>
        <v>0</v>
      </c>
      <c r="AN8" s="12">
        <f>SUMIFS(Данные!$W$5:$W$216,Данные!$B$5:$B$216,$A8)</f>
        <v>0</v>
      </c>
      <c r="AO8" s="13">
        <f>IF(E8&lt;=0,0,(E8-(IF(C8=0,0,AVERAGEIFS(Данные!$M$5:$M$216,Данные!$B$5:$B$216,$A8,Данные!$C$5:$C$216,"F"))+IF(C8=0,0,SUMIFS(Данные!$Z$5:$Z$216,Данные!$B$5:$B$216,$A8,Данные!$C$5:$C$216,"F")/C8)))/E8*100-X8)</f>
        <v>-7.2996863540727546</v>
      </c>
      <c r="AP8" s="12">
        <f t="shared" si="15"/>
        <v>0</v>
      </c>
      <c r="AQ8" s="12">
        <f t="shared" si="16"/>
        <v>1</v>
      </c>
      <c r="BA8" s="10">
        <f t="shared" si="17"/>
        <v>26</v>
      </c>
      <c r="BB8" s="10">
        <f>SUMIFS(Данные!$G$5:$G$216,Данные!$B$5:$B$216,$A8)</f>
        <v>223</v>
      </c>
      <c r="BC8" s="10">
        <f>SUMIFS(Данные!$F$5:$F$216,Данные!$B$5:$B$216,$A8)</f>
        <v>204.3</v>
      </c>
      <c r="BD8" s="10">
        <f>SUMIFS(Данные!$M$5:$M$216,Данные!$B$5:$B$216,$A8)</f>
        <v>75609125.600000009</v>
      </c>
      <c r="BE8" s="10">
        <f>SUMPRODUCT((Данные!$B$5:$B$216=$A8)*Данные!$G$5:$G$216*Данные!$G$5:$G$216)</f>
        <v>1957</v>
      </c>
      <c r="BF8" s="10">
        <f>SUMPRODUCT((Данные!$B$5:$B$216=$A8)*Данные!$F$5:$F$216*Данные!$F$5:$F$216)</f>
        <v>1795.17</v>
      </c>
      <c r="BG8" s="10">
        <f>SUMPRODUCT((Данные!$B$5:$B$216=$A8)*Данные!$G$5:$G$216*Данные!$F$5:$F$216)</f>
        <v>1821.6999999999998</v>
      </c>
      <c r="BH8" s="10">
        <f>SUMPRODUCT((Данные!$B$5:$B$216=$A8)*Данные!$G$5:$G$216*Данные!$M$5:$M$216)</f>
        <v>662717610.87999988</v>
      </c>
      <c r="BI8" s="10">
        <f>SUMPRODUCT((Данные!$B$5:$B$216=$A8)*Данные!$F$5:$F$216*Данные!$M$5:$M$216)</f>
        <v>619171408.171</v>
      </c>
      <c r="BJ8" s="10">
        <f>SUMPRODUCT((Данные!$B$5:$B$216=$A8)*Данные!$M$5:$M$216*Данные!$M$5:$M$216)</f>
        <v>225199357342803.41</v>
      </c>
      <c r="BK8" s="10">
        <f t="shared" si="18"/>
        <v>3597.6615384615552</v>
      </c>
    </row>
    <row r="9" spans="1:63" x14ac:dyDescent="0.3">
      <c r="A9" s="8" t="s">
        <v>182</v>
      </c>
      <c r="B9" s="12">
        <f>COUNTIF(Данные!$B$5:$B$216,$A9)</f>
        <v>40</v>
      </c>
      <c r="C9" s="12">
        <f>COUNTIFS(Данные!$B$5:$B$216,$A9,Данные!$C$5:$C$216,"F")</f>
        <v>19</v>
      </c>
      <c r="D9" s="12">
        <f>COUNTIFS(Данные!$B$5:$B$216,$A9,Данные!$C$5:$C$216,"M")</f>
        <v>21</v>
      </c>
      <c r="E9" s="11">
        <f>IF(D9=0,0,AVERAGEIFS(Данные!$M$5:$M$216,Данные!$B$5:$B$216,$A9,Данные!$C$5:$C$216,"M"))</f>
        <v>2171756.1123809521</v>
      </c>
      <c r="F9" s="11">
        <f>IF(C9=0,0,AVERAGEIFS(Данные!$M$5:$M$216,Данные!$B$5:$B$216,$A9,Данные!$C$5:$C$216,"F"))</f>
        <v>1832765.1010526316</v>
      </c>
      <c r="G9" s="11">
        <f>IF(B9=0,0,SUMIFS(Данные!$O$5:$O$216,Данные!$B$5:$B$216,$A9,Данные!$AD$5:$AD$216,1))</f>
        <v>1952127.125</v>
      </c>
      <c r="H9" s="13">
        <f t="shared" si="0"/>
        <v>15.609073661437789</v>
      </c>
      <c r="I9" s="11">
        <f>IF(D9=0,0,(SUMIFS(Данные!$M$5:$M$216,Данные!$B$5:$B$216,$A9,Данные!$C$5:$C$216,"M",Данные!$AF$5:$AF$216,INT((D9+1)/2))+SUMIFS(Данные!$M$5:$M$216,Данные!$B$5:$B$216,$A9,Данные!$C$5:$C$216,"M",Данные!$AF$5:$AF$216,INT(D9/2)+1))/2)</f>
        <v>2165704.25</v>
      </c>
      <c r="J9" s="11">
        <f>IF(C9=0,0,(SUMIFS(Данные!$M$5:$M$216,Данные!$B$5:$B$216,$A9,Данные!$C$5:$C$216,"F",Данные!$AF$5:$AF$216,INT((C9+1)/2))+SUMIFS(Данные!$M$5:$M$216,Данные!$B$5:$B$216,$A9,Данные!$C$5:$C$216,"F",Данные!$AF$5:$AF$216,INT(C9/2)+1))/2)</f>
        <v>1726882.85</v>
      </c>
      <c r="K9" s="13">
        <f t="shared" si="1"/>
        <v>20.262295740519505</v>
      </c>
      <c r="L9" s="11">
        <f>IF(D9=0,0,AVERAGEIFS(Данные!$L$5:$L$216,Данные!$B$5:$B$216,$A9,Данные!$C$5:$C$216,"M"))</f>
        <v>128585.33904761903</v>
      </c>
      <c r="M9" s="11">
        <f>IF(C9=0,0,AVERAGEIFS(Данные!$L$5:$L$216,Данные!$B$5:$B$216,$A9,Данные!$C$5:$C$216,"F"))</f>
        <v>101484.19802631579</v>
      </c>
      <c r="N9" s="13">
        <f t="shared" si="2"/>
        <v>21.076384930063348</v>
      </c>
      <c r="O9" s="11">
        <f>IF(D9=0,0,AVERAGEIFS(Данные!$K$5:$K$216,Данные!$B$5:$B$216,$A9,Данные!$C$5:$C$216,"M"))</f>
        <v>2043170.7733333334</v>
      </c>
      <c r="P9" s="11">
        <f>IF(C9=0,0,AVERAGEIFS(Данные!$K$5:$K$216,Данные!$B$5:$B$216,$A9,Данные!$C$5:$C$216,"F"))</f>
        <v>1731280.9030263161</v>
      </c>
      <c r="Q9" s="13">
        <f t="shared" si="3"/>
        <v>15.264992744497036</v>
      </c>
      <c r="R9" s="10">
        <f>IF(B9&lt;2,0,SUMPRODUCT((Данные!$B$5:$B$216=$A9)*Данные!$G$5:$G$216*Данные!$G$5:$G$216)/B9-(SUMIFS(Данные!$G$5:$G$216,Данные!$B$5:$B$216,$A9)/B9)^2)</f>
        <v>1.5874999999999986</v>
      </c>
      <c r="S9" s="10">
        <f>IF(B9&lt;2,0,SUMPRODUCT((Данные!$B$5:$B$216=$A9)*Данные!$F$5:$F$216*Данные!$F$5:$F$216)/B9-(SUMIFS(Данные!$F$5:$F$216,Данные!$B$5:$B$216,$A9)/B9)^2)</f>
        <v>19.436243750000017</v>
      </c>
      <c r="T9" s="12">
        <f t="shared" si="4"/>
        <v>1</v>
      </c>
      <c r="U9" s="11">
        <f t="shared" si="5"/>
        <v>230251.77989624231</v>
      </c>
      <c r="V9" s="11">
        <f t="shared" si="6"/>
        <v>29115.614074389076</v>
      </c>
      <c r="W9" s="10">
        <f t="shared" si="7"/>
        <v>0.91301294104010344</v>
      </c>
      <c r="X9" s="13">
        <f>IF(H9&gt;=0,MAX(0,MIN(IF(OR(T9=0,E9&lt;=0),0,(U9*(IF(D9=0,0,AVERAGEIFS(Данные!$G$5:$G$216,Данные!$B$5:$B$216,$A9,Данные!$C$5:$C$216,"M"))-IF(C9=0,0,AVERAGEIFS(Данные!$G$5:$G$216,Данные!$B$5:$B$216,$A9,Данные!$C$5:$C$216,"F")))+V9*(IF(D9=0,0,AVERAGEIFS(Данные!$F$5:$F$216,Данные!$B$5:$B$216,$A9,Данные!$C$5:$C$216,"M"))-IF(C9=0,0,AVERAGEIFS(Данные!$F$5:$F$216,Данные!$B$5:$B$216,$A9,Данные!$C$5:$C$216,"F"))))/E9*100),H9)),MIN(0,MAX(IF(OR(T9=0,E9&lt;=0),0,(U9*(IF(D9=0,0,AVERAGEIFS(Данные!$G$5:$G$216,Данные!$B$5:$B$216,$A9,Данные!$C$5:$C$216,"M"))-IF(C9=0,0,AVERAGEIFS(Данные!$G$5:$G$216,Данные!$B$5:$B$216,$A9,Данные!$C$5:$C$216,"F")))+V9*(IF(D9=0,0,AVERAGEIFS(Данные!$F$5:$F$216,Данные!$B$5:$B$216,$A9,Данные!$C$5:$C$216,"M"))-IF(C9=0,0,AVERAGEIFS(Данные!$F$5:$F$216,Данные!$B$5:$B$216,$A9,Данные!$C$5:$C$216,"F"))))/E9*100),H9)))</f>
        <v>8.9498184117672235</v>
      </c>
      <c r="Y9" s="13">
        <f t="shared" si="8"/>
        <v>6.659255249670565</v>
      </c>
      <c r="Z9" s="12">
        <f t="shared" si="9"/>
        <v>1</v>
      </c>
      <c r="AA9" s="11">
        <f>IF(Z9=0,0,SUMIFS(Данные!$Q$5:$Q$216,Данные!$B$5:$B$216,$A9))</f>
        <v>4227667.080000001</v>
      </c>
      <c r="AB9" s="11">
        <f t="shared" si="10"/>
        <v>684664.56878972414</v>
      </c>
      <c r="AC9" s="11">
        <f>SUMIFS(Данные!$T$5:$T$216,Данные!$B$5:$B$216,$A9)</f>
        <v>657557.36684031866</v>
      </c>
      <c r="AD9" s="11">
        <f>SUMIFS(Данные!$U$5:$U$216,Данные!$B$5:$B$216,$A9)</f>
        <v>197267.21005209559</v>
      </c>
      <c r="AE9" s="11">
        <f t="shared" si="11"/>
        <v>854824.57689241425</v>
      </c>
      <c r="AF9" s="12">
        <f>SUMIFS(Данные!$P$5:$P$216,Данные!$B$5:$B$216,$A9)</f>
        <v>12</v>
      </c>
      <c r="AG9" s="13">
        <f>IF(E9&lt;=0,0,(E9-(IF(C9=0,0,AVERAGEIFS(Данные!$M$5:$M$216,Данные!$B$5:$B$216,$A9,Данные!$C$5:$C$216,"F"))+IF(C9=0,0,SUMIFS(Данные!$S$5:$S$216,Данные!$B$5:$B$216,$A9,Данные!$C$5:$C$216,"F")/C9)))/E9*100-X9)</f>
        <v>4.9999999999999964</v>
      </c>
      <c r="AH9" s="12">
        <f t="shared" si="12"/>
        <v>1</v>
      </c>
      <c r="AI9" s="11">
        <f>IF(AH9=0,0,SUMIFS(Данные!$X$5:$X$216,Данные!$B$5:$B$216,$A9))</f>
        <v>4227667.080000001</v>
      </c>
      <c r="AJ9" s="11">
        <f t="shared" si="13"/>
        <v>2747832.8755516289</v>
      </c>
      <c r="AK9" s="11">
        <f>SUMIFS(Данные!$AA$5:$AA$216,Данные!$B$5:$B$216,$A9)</f>
        <v>2639040.8274798812</v>
      </c>
      <c r="AL9" s="11">
        <f>SUMIFS(Данные!$AB$5:$AB$216,Данные!$B$5:$B$216,$A9)</f>
        <v>791712.24824396451</v>
      </c>
      <c r="AM9" s="11">
        <f t="shared" si="14"/>
        <v>3430753.0757238455</v>
      </c>
      <c r="AN9" s="12">
        <f>SUMIFS(Данные!$W$5:$W$216,Данные!$B$5:$B$216,$A9)</f>
        <v>12</v>
      </c>
      <c r="AO9" s="13">
        <f>IF(E9&lt;=0,0,(E9-(IF(C9=0,0,AVERAGEIFS(Данные!$M$5:$M$216,Данные!$B$5:$B$216,$A9,Данные!$C$5:$C$216,"F"))+IF(C9=0,0,SUMIFS(Данные!$Z$5:$Z$216,Данные!$B$5:$B$216,$A9,Данные!$C$5:$C$216,"F")/C9)))/E9*100-X9)</f>
        <v>1.7763568394002505E-15</v>
      </c>
      <c r="AP9" s="12">
        <f t="shared" si="15"/>
        <v>0</v>
      </c>
      <c r="AQ9" s="12">
        <f t="shared" si="16"/>
        <v>0</v>
      </c>
      <c r="BA9" s="10">
        <f t="shared" si="17"/>
        <v>40</v>
      </c>
      <c r="BB9" s="10">
        <f>SUMIFS(Данные!$G$5:$G$216,Данные!$B$5:$B$216,$A9)</f>
        <v>230</v>
      </c>
      <c r="BC9" s="10">
        <f>SUMIFS(Данные!$F$5:$F$216,Данные!$B$5:$B$216,$A9)</f>
        <v>411.09999999999997</v>
      </c>
      <c r="BD9" s="10">
        <f>SUMIFS(Данные!$M$5:$M$216,Данные!$B$5:$B$216,$A9)</f>
        <v>80429415.280000031</v>
      </c>
      <c r="BE9" s="10">
        <f>SUMPRODUCT((Данные!$B$5:$B$216=$A9)*Данные!$G$5:$G$216*Данные!$G$5:$G$216)</f>
        <v>1386</v>
      </c>
      <c r="BF9" s="10">
        <f>SUMPRODUCT((Данные!$B$5:$B$216=$A9)*Данные!$F$5:$F$216*Данные!$F$5:$F$216)</f>
        <v>5002.5300000000007</v>
      </c>
      <c r="BG9" s="10">
        <f>SUMPRODUCT((Данные!$B$5:$B$216=$A9)*Данные!$G$5:$G$216*Данные!$F$5:$F$216)</f>
        <v>2527.0000000000005</v>
      </c>
      <c r="BH9" s="10">
        <f>SUMPRODUCT((Данные!$B$5:$B$216=$A9)*Данные!$G$5:$G$216*Данные!$M$5:$M$216)</f>
        <v>481841066.20999998</v>
      </c>
      <c r="BI9" s="10">
        <f>SUMPRODUCT((Данные!$B$5:$B$216=$A9)*Данные!$F$5:$F$216*Данные!$M$5:$M$216)</f>
        <v>886820576.60800004</v>
      </c>
      <c r="BJ9" s="10">
        <f>SUMPRODUCT((Данные!$B$5:$B$216=$A9)*Данные!$M$5:$M$216*Данные!$M$5:$M$216)</f>
        <v>168527642680012.69</v>
      </c>
      <c r="BK9" s="10">
        <f t="shared" si="18"/>
        <v>22741.978499999896</v>
      </c>
    </row>
    <row r="10" spans="1:63" x14ac:dyDescent="0.3">
      <c r="A10" s="8" t="s">
        <v>223</v>
      </c>
      <c r="B10" s="12">
        <f>COUNTIF(Данные!$B$5:$B$216,$A10)</f>
        <v>30</v>
      </c>
      <c r="C10" s="12">
        <f>COUNTIFS(Данные!$B$5:$B$216,$A10,Данные!$C$5:$C$216,"F")</f>
        <v>13</v>
      </c>
      <c r="D10" s="12">
        <f>COUNTIFS(Данные!$B$5:$B$216,$A10,Данные!$C$5:$C$216,"M")</f>
        <v>17</v>
      </c>
      <c r="E10" s="11">
        <f>IF(D10=0,0,AVERAGEIFS(Данные!$M$5:$M$216,Данные!$B$5:$B$216,$A10,Данные!$C$5:$C$216,"M"))</f>
        <v>1702822.2094509806</v>
      </c>
      <c r="F10" s="11">
        <f>IF(C10=0,0,AVERAGEIFS(Данные!$M$5:$M$216,Данные!$B$5:$B$216,$A10,Данные!$C$5:$C$216,"F"))</f>
        <v>1412732.1223589743</v>
      </c>
      <c r="G10" s="11">
        <f>IF(B10=0,0,SUMIFS(Данные!$O$5:$O$216,Данные!$B$5:$B$216,$A10,Данные!$AD$5:$AD$216,1))</f>
        <v>1514155.4750000001</v>
      </c>
      <c r="H10" s="13">
        <f t="shared" si="0"/>
        <v>17.035841174842112</v>
      </c>
      <c r="I10" s="11">
        <f>IF(D10=0,0,(SUMIFS(Данные!$M$5:$M$216,Данные!$B$5:$B$216,$A10,Данные!$C$5:$C$216,"M",Данные!$AF$5:$AF$216,INT((D10+1)/2))+SUMIFS(Данные!$M$5:$M$216,Данные!$B$5:$B$216,$A10,Данные!$C$5:$C$216,"M",Данные!$AF$5:$AF$216,INT(D10/2)+1))/2)</f>
        <v>1646789.8666666667</v>
      </c>
      <c r="J10" s="11">
        <f>IF(C10=0,0,(SUMIFS(Данные!$M$5:$M$216,Данные!$B$5:$B$216,$A10,Данные!$C$5:$C$216,"F",Данные!$AF$5:$AF$216,INT((C10+1)/2))+SUMIFS(Данные!$M$5:$M$216,Данные!$B$5:$B$216,$A10,Данные!$C$5:$C$216,"F",Данные!$AF$5:$AF$216,INT(C10/2)+1))/2)</f>
        <v>1341517.92</v>
      </c>
      <c r="K10" s="13">
        <f t="shared" si="1"/>
        <v>18.537395258848655</v>
      </c>
      <c r="L10" s="11">
        <f>IF(D10=0,0,AVERAGEIFS(Данные!$L$5:$L$216,Данные!$B$5:$B$216,$A10,Данные!$C$5:$C$216,"M"))</f>
        <v>82989.016235294112</v>
      </c>
      <c r="M10" s="11">
        <f>IF(C10=0,0,AVERAGEIFS(Данные!$L$5:$L$216,Данные!$B$5:$B$216,$A10,Данные!$C$5:$C$216,"F"))</f>
        <v>66866.347589743586</v>
      </c>
      <c r="N10" s="13">
        <f t="shared" si="2"/>
        <v>19.427472907786768</v>
      </c>
      <c r="O10" s="11">
        <f>IF(D10=0,0,AVERAGEIFS(Данные!$K$5:$K$216,Данные!$B$5:$B$216,$A10,Данные!$C$5:$C$216,"M"))</f>
        <v>1619833.1932156864</v>
      </c>
      <c r="P10" s="11">
        <f>IF(C10=0,0,AVERAGEIFS(Данные!$K$5:$K$216,Данные!$B$5:$B$216,$A10,Данные!$C$5:$C$216,"F"))</f>
        <v>1345865.7747692307</v>
      </c>
      <c r="Q10" s="13">
        <f t="shared" si="3"/>
        <v>16.913310555303326</v>
      </c>
      <c r="R10" s="10">
        <f>IF(B10&lt;2,0,SUMPRODUCT((Данные!$B$5:$B$216=$A10)*Данные!$G$5:$G$216*Данные!$G$5:$G$216)/B10-(SUMIFS(Данные!$G$5:$G$216,Данные!$B$5:$B$216,$A10)/B10)^2)</f>
        <v>1.1433333333333344</v>
      </c>
      <c r="S10" s="10">
        <f>IF(B10&lt;2,0,SUMPRODUCT((Данные!$B$5:$B$216=$A10)*Данные!$F$5:$F$216*Данные!$F$5:$F$216)/B10-(SUMIFS(Данные!$F$5:$F$216,Данные!$B$5:$B$216,$A10)/B10)^2)</f>
        <v>8.6241000000000128</v>
      </c>
      <c r="T10" s="12">
        <f t="shared" si="4"/>
        <v>1</v>
      </c>
      <c r="U10" s="11">
        <f t="shared" si="5"/>
        <v>196086.35549096024</v>
      </c>
      <c r="V10" s="11">
        <f t="shared" si="6"/>
        <v>18913.31588333306</v>
      </c>
      <c r="W10" s="10">
        <f t="shared" si="7"/>
        <v>0.89580046664990121</v>
      </c>
      <c r="X10" s="13">
        <f>IF(H10&gt;=0,MAX(0,MIN(IF(OR(T10=0,E10&lt;=0),0,(U10*(IF(D10=0,0,AVERAGEIFS(Данные!$G$5:$G$216,Данные!$B$5:$B$216,$A10,Данные!$C$5:$C$216,"M"))-IF(C10=0,0,AVERAGEIFS(Данные!$G$5:$G$216,Данные!$B$5:$B$216,$A10,Данные!$C$5:$C$216,"F")))+V10*(IF(D10=0,0,AVERAGEIFS(Данные!$F$5:$F$216,Данные!$B$5:$B$216,$A10,Данные!$C$5:$C$216,"M"))-IF(C10=0,0,AVERAGEIFS(Данные!$F$5:$F$216,Данные!$B$5:$B$216,$A10,Данные!$C$5:$C$216,"F"))))/E10*100),H10)),MIN(0,MAX(IF(OR(T10=0,E10&lt;=0),0,(U10*(IF(D10=0,0,AVERAGEIFS(Данные!$G$5:$G$216,Данные!$B$5:$B$216,$A10,Данные!$C$5:$C$216,"M"))-IF(C10=0,0,AVERAGEIFS(Данные!$G$5:$G$216,Данные!$B$5:$B$216,$A10,Данные!$C$5:$C$216,"F")))+V10*(IF(D10=0,0,AVERAGEIFS(Данные!$F$5:$F$216,Данные!$B$5:$B$216,$A10,Данные!$C$5:$C$216,"M"))-IF(C10=0,0,AVERAGEIFS(Данные!$F$5:$F$216,Данные!$B$5:$B$216,$A10,Данные!$C$5:$C$216,"F"))))/E10*100),H10)))</f>
        <v>10.837513666274406</v>
      </c>
      <c r="Y10" s="13">
        <f t="shared" si="8"/>
        <v>6.1983275085677061</v>
      </c>
      <c r="Z10" s="12">
        <f t="shared" si="9"/>
        <v>1</v>
      </c>
      <c r="AA10" s="11">
        <f>IF(Z10=0,0,SUMIFS(Данные!$Q$5:$Q$216,Данные!$B$5:$B$216,$A10))</f>
        <v>2006804.9160000009</v>
      </c>
      <c r="AB10" s="11">
        <f t="shared" si="10"/>
        <v>265270.03045206948</v>
      </c>
      <c r="AC10" s="11">
        <f>SUMIFS(Данные!$T$5:$T$216,Данные!$B$5:$B$216,$A10)</f>
        <v>247270.6215540375</v>
      </c>
      <c r="AD10" s="11">
        <f>SUMIFS(Данные!$U$5:$U$216,Данные!$B$5:$B$216,$A10)</f>
        <v>74181.186466211249</v>
      </c>
      <c r="AE10" s="11">
        <f t="shared" si="11"/>
        <v>321451.80802024878</v>
      </c>
      <c r="AF10" s="12">
        <f>SUMIFS(Данные!$P$5:$P$216,Данные!$B$5:$B$216,$A10)</f>
        <v>10</v>
      </c>
      <c r="AG10" s="13">
        <f>IF(E10&lt;=0,0,(E10-(IF(C10=0,0,AVERAGEIFS(Данные!$M$5:$M$216,Данные!$B$5:$B$216,$A10,Данные!$C$5:$C$216,"F"))+IF(C10=0,0,SUMIFS(Данные!$S$5:$S$216,Данные!$B$5:$B$216,$A10,Данные!$C$5:$C$216,"F")/C10)))/E10*100-X10)</f>
        <v>5.0000000000000018</v>
      </c>
      <c r="AH10" s="12">
        <f t="shared" si="12"/>
        <v>1</v>
      </c>
      <c r="AI10" s="11">
        <f>IF(AH10=0,0,SUMIFS(Данные!$X$5:$X$216,Данные!$B$5:$B$216,$A10))</f>
        <v>2006804.9160000009</v>
      </c>
      <c r="AJ10" s="11">
        <f t="shared" si="13"/>
        <v>1372104.4665952069</v>
      </c>
      <c r="AK10" s="11">
        <f>SUMIFS(Данные!$AA$5:$AA$216,Данные!$B$5:$B$216,$A10)</f>
        <v>1279002.8474527251</v>
      </c>
      <c r="AL10" s="11">
        <f>SUMIFS(Данные!$AB$5:$AB$216,Данные!$B$5:$B$216,$A10)</f>
        <v>383700.85423581745</v>
      </c>
      <c r="AM10" s="11">
        <f t="shared" si="14"/>
        <v>1662703.7016885425</v>
      </c>
      <c r="AN10" s="12">
        <f>SUMIFS(Данные!$W$5:$W$216,Данные!$B$5:$B$216,$A10)</f>
        <v>10</v>
      </c>
      <c r="AO10" s="13">
        <f>IF(E10&lt;=0,0,(E10-(IF(C10=0,0,AVERAGEIFS(Данные!$M$5:$M$216,Данные!$B$5:$B$216,$A10,Данные!$C$5:$C$216,"F"))+IF(C10=0,0,SUMIFS(Данные!$Z$5:$Z$216,Данные!$B$5:$B$216,$A10,Данные!$C$5:$C$216,"F")/C10)))/E10*100-X10)</f>
        <v>5.3290705182007514E-15</v>
      </c>
      <c r="AP10" s="12">
        <f t="shared" si="15"/>
        <v>0</v>
      </c>
      <c r="AQ10" s="12">
        <f t="shared" si="16"/>
        <v>0</v>
      </c>
      <c r="BA10" s="10">
        <f t="shared" si="17"/>
        <v>30</v>
      </c>
      <c r="BB10" s="10">
        <f>SUMIFS(Данные!$G$5:$G$216,Данные!$B$5:$B$216,$A10)</f>
        <v>129</v>
      </c>
      <c r="BC10" s="10">
        <f>SUMIFS(Данные!$F$5:$F$216,Данные!$B$5:$B$216,$A10)</f>
        <v>191.09999999999997</v>
      </c>
      <c r="BD10" s="10">
        <f>SUMIFS(Данные!$M$5:$M$216,Данные!$B$5:$B$216,$A10)</f>
        <v>47313495.151333325</v>
      </c>
      <c r="BE10" s="10">
        <f>SUMPRODUCT((Данные!$B$5:$B$216=$A10)*Данные!$G$5:$G$216*Данные!$G$5:$G$216)</f>
        <v>589</v>
      </c>
      <c r="BF10" s="10">
        <f>SUMPRODUCT((Данные!$B$5:$B$216=$A10)*Данные!$F$5:$F$216*Данные!$F$5:$F$216)</f>
        <v>1476.03</v>
      </c>
      <c r="BG10" s="10">
        <f>SUMPRODUCT((Данные!$B$5:$B$216=$A10)*Данные!$G$5:$G$216*Данные!$F$5:$F$216)</f>
        <v>893.09999999999991</v>
      </c>
      <c r="BH10" s="10">
        <f>SUMPRODUCT((Данные!$B$5:$B$216=$A10)*Данные!$G$5:$G$216*Данные!$M$5:$M$216)</f>
        <v>211523634.4986667</v>
      </c>
      <c r="BI10" s="10">
        <f>SUMPRODUCT((Данные!$B$5:$B$216=$A10)*Данные!$F$5:$F$216*Данные!$M$5:$M$216)</f>
        <v>320274957.13066667</v>
      </c>
      <c r="BJ10" s="10">
        <f>SUMPRODUCT((Данные!$B$5:$B$216=$A10)*Данные!$M$5:$M$216*Данные!$M$5:$M$216)</f>
        <v>76785392873594.547</v>
      </c>
      <c r="BK10" s="10">
        <f t="shared" si="18"/>
        <v>3780.5219999999863</v>
      </c>
    </row>
    <row r="11" spans="1:63" x14ac:dyDescent="0.3">
      <c r="A11" s="8" t="s">
        <v>254</v>
      </c>
      <c r="B11" s="12">
        <f>COUNTIF(Данные!$B$5:$B$216,$A11)</f>
        <v>26</v>
      </c>
      <c r="C11" s="12">
        <f>COUNTIFS(Данные!$B$5:$B$216,$A11,Данные!$C$5:$C$216,"F")</f>
        <v>13</v>
      </c>
      <c r="D11" s="12">
        <f>COUNTIFS(Данные!$B$5:$B$216,$A11,Данные!$C$5:$C$216,"M")</f>
        <v>13</v>
      </c>
      <c r="E11" s="11">
        <f>IF(D11=0,0,AVERAGEIFS(Данные!$M$5:$M$216,Данные!$B$5:$B$216,$A11,Данные!$C$5:$C$216,"M"))</f>
        <v>3727554.6076923087</v>
      </c>
      <c r="F11" s="11">
        <f>IF(C11=0,0,AVERAGEIFS(Данные!$M$5:$M$216,Данные!$B$5:$B$216,$A11,Данные!$C$5:$C$216,"F"))</f>
        <v>3342965.6407692307</v>
      </c>
      <c r="G11" s="11">
        <f>IF(B11=0,0,SUMIFS(Данные!$O$5:$O$216,Данные!$B$5:$B$216,$A11,Данные!$AD$5:$AD$216,1))</f>
        <v>3401436.6850000001</v>
      </c>
      <c r="H11" s="13">
        <f t="shared" si="0"/>
        <v>10.317460303047664</v>
      </c>
      <c r="I11" s="11">
        <f>IF(D11=0,0,(SUMIFS(Данные!$M$5:$M$216,Данные!$B$5:$B$216,$A11,Данные!$C$5:$C$216,"M",Данные!$AF$5:$AF$216,INT((D11+1)/2))+SUMIFS(Данные!$M$5:$M$216,Данные!$B$5:$B$216,$A11,Данные!$C$5:$C$216,"M",Данные!$AF$5:$AF$216,INT(D11/2)+1))/2)</f>
        <v>3737986.56</v>
      </c>
      <c r="J11" s="11">
        <f>IF(C11=0,0,(SUMIFS(Данные!$M$5:$M$216,Данные!$B$5:$B$216,$A11,Данные!$C$5:$C$216,"F",Данные!$AF$5:$AF$216,INT((C11+1)/2))+SUMIFS(Данные!$M$5:$M$216,Данные!$B$5:$B$216,$A11,Данные!$C$5:$C$216,"F",Данные!$AF$5:$AF$216,INT(C11/2)+1))/2)</f>
        <v>3352321.2800000003</v>
      </c>
      <c r="K11" s="13">
        <f t="shared" si="1"/>
        <v>10.317460317460311</v>
      </c>
      <c r="L11" s="11">
        <f>IF(D11=0,0,AVERAGEIFS(Данные!$L$5:$L$216,Данные!$B$5:$B$216,$A11,Данные!$C$5:$C$216,"M"))</f>
        <v>769177.93461538455</v>
      </c>
      <c r="M11" s="11">
        <f>IF(C11=0,0,AVERAGEIFS(Данные!$L$5:$L$216,Данные!$B$5:$B$216,$A11,Данные!$C$5:$C$216,"F"))</f>
        <v>384588.9676923076</v>
      </c>
      <c r="N11" s="13">
        <f t="shared" si="2"/>
        <v>49.999999949996571</v>
      </c>
      <c r="O11" s="11">
        <f>IF(D11=0,0,AVERAGEIFS(Данные!$K$5:$K$216,Данные!$B$5:$B$216,$A11,Данные!$C$5:$C$216,"M"))</f>
        <v>2958376.673076923</v>
      </c>
      <c r="P11" s="11">
        <f>IF(C11=0,0,AVERAGEIFS(Данные!$K$5:$K$216,Данные!$B$5:$B$216,$A11,Данные!$C$5:$C$216,"F"))</f>
        <v>2958376.673076923</v>
      </c>
      <c r="Q11" s="13">
        <f t="shared" si="3"/>
        <v>0</v>
      </c>
      <c r="R11" s="10">
        <f>IF(B11&lt;2,0,SUMPRODUCT((Данные!$B$5:$B$216=$A11)*Данные!$G$5:$G$216*Данные!$G$5:$G$216)/B11-(SUMIFS(Данные!$G$5:$G$216,Данные!$B$5:$B$216,$A11)/B11)^2)</f>
        <v>1.5976331360946858</v>
      </c>
      <c r="S11" s="10">
        <f>IF(B11&lt;2,0,SUMPRODUCT((Данные!$B$5:$B$216=$A11)*Данные!$F$5:$F$216*Данные!$F$5:$F$216)/B11-(SUMIFS(Данные!$F$5:$F$216,Данные!$B$5:$B$216,$A11)/B11)^2)</f>
        <v>10.865443786982269</v>
      </c>
      <c r="T11" s="12">
        <f t="shared" si="4"/>
        <v>1</v>
      </c>
      <c r="U11" s="11">
        <f t="shared" si="5"/>
        <v>394155.61445723043</v>
      </c>
      <c r="V11" s="11">
        <f t="shared" si="6"/>
        <v>52599.288727126834</v>
      </c>
      <c r="W11" s="10">
        <f t="shared" si="7"/>
        <v>0.91376835305213544</v>
      </c>
      <c r="X11" s="13">
        <f>IF(H11&gt;=0,MAX(0,MIN(IF(OR(T11=0,E11&lt;=0),0,(U11*(IF(D11=0,0,AVERAGEIFS(Данные!$G$5:$G$216,Данные!$B$5:$B$216,$A11,Данные!$C$5:$C$216,"M"))-IF(C11=0,0,AVERAGEIFS(Данные!$G$5:$G$216,Данные!$B$5:$B$216,$A11,Данные!$C$5:$C$216,"F")))+V11*(IF(D11=0,0,AVERAGEIFS(Данные!$F$5:$F$216,Данные!$B$5:$B$216,$A11,Данные!$C$5:$C$216,"M"))-IF(C11=0,0,AVERAGEIFS(Данные!$F$5:$F$216,Данные!$B$5:$B$216,$A11,Данные!$C$5:$C$216,"F"))))/E11*100),H11)),MIN(0,MAX(IF(OR(T11=0,E11&lt;=0),0,(U11*(IF(D11=0,0,AVERAGEIFS(Данные!$G$5:$G$216,Данные!$B$5:$B$216,$A11,Данные!$C$5:$C$216,"M"))-IF(C11=0,0,AVERAGEIFS(Данные!$G$5:$G$216,Данные!$B$5:$B$216,$A11,Данные!$C$5:$C$216,"F")))+V11*(IF(D11=0,0,AVERAGEIFS(Данные!$F$5:$F$216,Данные!$B$5:$B$216,$A11,Данные!$C$5:$C$216,"M"))-IF(C11=0,0,AVERAGEIFS(Данные!$F$5:$F$216,Данные!$B$5:$B$216,$A11,Данные!$C$5:$C$216,"F"))))/E11*100),H11)))</f>
        <v>0</v>
      </c>
      <c r="Y11" s="13">
        <f t="shared" si="8"/>
        <v>10.317460303047664</v>
      </c>
      <c r="Z11" s="12">
        <f t="shared" si="9"/>
        <v>1</v>
      </c>
      <c r="AA11" s="11">
        <f>IF(Z11=0,0,SUMIFS(Данные!$Q$5:$Q$216,Данные!$B$5:$B$216,$A11))</f>
        <v>3876364.1150000002</v>
      </c>
      <c r="AB11" s="11">
        <f t="shared" si="10"/>
        <v>2576746.0750000132</v>
      </c>
      <c r="AC11" s="11">
        <f>SUMIFS(Данные!$T$5:$T$216,Данные!$B$5:$B$216,$A11)</f>
        <v>2576746.0750000128</v>
      </c>
      <c r="AD11" s="11">
        <f>SUMIFS(Данные!$U$5:$U$216,Данные!$B$5:$B$216,$A11)</f>
        <v>769998.43457805074</v>
      </c>
      <c r="AE11" s="11">
        <f t="shared" si="11"/>
        <v>3346744.5095780636</v>
      </c>
      <c r="AF11" s="12">
        <f>SUMIFS(Данные!$P$5:$P$216,Данные!$B$5:$B$216,$A11)</f>
        <v>7</v>
      </c>
      <c r="AG11" s="13">
        <f>IF(E11&lt;=0,0,(E11-(IF(C11=0,0,AVERAGEIFS(Данные!$M$5:$M$216,Данные!$B$5:$B$216,$A11,Данные!$C$5:$C$216,"F"))+IF(C11=0,0,SUMIFS(Данные!$S$5:$S$216,Данные!$B$5:$B$216,$A11,Данные!$C$5:$C$216,"F")/C11)))/E11*100-X11)</f>
        <v>5.0000000000000071</v>
      </c>
      <c r="AH11" s="12">
        <f t="shared" si="12"/>
        <v>1</v>
      </c>
      <c r="AI11" s="11">
        <f>IF(AH11=0,0,SUMIFS(Данные!$X$5:$X$216,Данные!$B$5:$B$216,$A11))</f>
        <v>3876364.1150000002</v>
      </c>
      <c r="AJ11" s="11">
        <f t="shared" si="13"/>
        <v>4999656.5700000152</v>
      </c>
      <c r="AK11" s="11">
        <f>SUMIFS(Данные!$AA$5:$AA$216,Данные!$B$5:$B$216,$A11)</f>
        <v>4999656.5700000152</v>
      </c>
      <c r="AL11" s="11">
        <f>SUMIFS(Данные!$AB$5:$AB$216,Данные!$B$5:$B$216,$A11)</f>
        <v>1233620.1780700025</v>
      </c>
      <c r="AM11" s="11">
        <f t="shared" si="14"/>
        <v>6233276.7480700174</v>
      </c>
      <c r="AN11" s="12">
        <f>SUMIFS(Данные!$W$5:$W$216,Данные!$B$5:$B$216,$A11)</f>
        <v>7</v>
      </c>
      <c r="AO11" s="13">
        <f>IF(E11&lt;=0,0,(E11-(IF(C11=0,0,AVERAGEIFS(Данные!$M$5:$M$216,Данные!$B$5:$B$216,$A11,Данные!$C$5:$C$216,"F"))+IF(C11=0,0,SUMIFS(Данные!$Z$5:$Z$216,Данные!$B$5:$B$216,$A11,Данные!$C$5:$C$216,"F")/C11)))/E11*100-X11)</f>
        <v>0</v>
      </c>
      <c r="AP11" s="12">
        <f t="shared" si="15"/>
        <v>0</v>
      </c>
      <c r="AQ11" s="12">
        <f t="shared" si="16"/>
        <v>0</v>
      </c>
      <c r="BA11" s="10">
        <f t="shared" si="17"/>
        <v>26</v>
      </c>
      <c r="BB11" s="10">
        <f>SUMIFS(Данные!$G$5:$G$216,Данные!$B$5:$B$216,$A11)</f>
        <v>252</v>
      </c>
      <c r="BC11" s="10">
        <f>SUMIFS(Данные!$F$5:$F$216,Данные!$B$5:$B$216,$A11)</f>
        <v>160.19999999999999</v>
      </c>
      <c r="BD11" s="10">
        <f>SUMIFS(Данные!$M$5:$M$216,Данные!$B$5:$B$216,$A11)</f>
        <v>91916763.230000004</v>
      </c>
      <c r="BE11" s="10">
        <f>SUMPRODUCT((Данные!$B$5:$B$216=$A11)*Данные!$G$5:$G$216*Данные!$G$5:$G$216)</f>
        <v>2484</v>
      </c>
      <c r="BF11" s="10">
        <f>SUMPRODUCT((Данные!$B$5:$B$216=$A11)*Данные!$F$5:$F$216*Данные!$F$5:$F$216)</f>
        <v>1269.5800000000004</v>
      </c>
      <c r="BG11" s="10">
        <f>SUMPRODUCT((Данные!$B$5:$B$216=$A11)*Данные!$G$5:$G$216*Данные!$F$5:$F$216)</f>
        <v>1647.4</v>
      </c>
      <c r="BH11" s="10">
        <f>SUMPRODUCT((Данные!$B$5:$B$216=$A11)*Данные!$G$5:$G$216*Данные!$M$5:$M$216)</f>
        <v>912238917.16999996</v>
      </c>
      <c r="BI11" s="10">
        <f>SUMPRODUCT((Данные!$B$5:$B$216=$A11)*Данные!$F$5:$F$216*Данные!$M$5:$M$216)</f>
        <v>618531556.61199999</v>
      </c>
      <c r="BJ11" s="10">
        <f>SUMPRODUCT((Данные!$B$5:$B$216=$A11)*Данные!$M$5:$M$216*Данные!$M$5:$M$216)</f>
        <v>337164286111938.5</v>
      </c>
      <c r="BK11" s="10">
        <f t="shared" si="18"/>
        <v>2768.0461538460731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8"/>
  <sheetViews>
    <sheetView workbookViewId="0"/>
  </sheetViews>
  <sheetFormatPr defaultRowHeight="14.4" x14ac:dyDescent="0.3"/>
  <cols>
    <col min="1" max="1" width="44" customWidth="1"/>
    <col min="2" max="4" width="22" customWidth="1"/>
  </cols>
  <sheetData>
    <row r="1" spans="1:4" ht="17.399999999999999" x14ac:dyDescent="0.35">
      <c r="A1" s="1" t="s">
        <v>329</v>
      </c>
    </row>
    <row r="2" spans="1:4" x14ac:dyDescent="0.3">
      <c r="A2" s="2" t="s">
        <v>330</v>
      </c>
    </row>
    <row r="4" spans="1:4" x14ac:dyDescent="0.3">
      <c r="A4" s="7" t="s">
        <v>331</v>
      </c>
      <c r="B4" s="14">
        <f>SUM(Данные!$N$5:$N$216)</f>
        <v>521149441.61999995</v>
      </c>
    </row>
    <row r="5" spans="1:4" x14ac:dyDescent="0.3">
      <c r="A5" t="s">
        <v>332</v>
      </c>
      <c r="B5" s="15">
        <f>COUNTA(Данные!$A$5:$A$216)</f>
        <v>212</v>
      </c>
    </row>
    <row r="7" spans="1:4" ht="30" customHeight="1" x14ac:dyDescent="0.3">
      <c r="A7" s="3" t="s">
        <v>333</v>
      </c>
      <c r="B7" s="3" t="s">
        <v>334</v>
      </c>
      <c r="C7" s="3" t="s">
        <v>335</v>
      </c>
      <c r="D7" s="3" t="s">
        <v>336</v>
      </c>
    </row>
    <row r="8" spans="1:4" x14ac:dyDescent="0.3">
      <c r="A8" s="4" t="s">
        <v>337</v>
      </c>
      <c r="B8" s="11">
        <f>SUM(Категории!$AC$5:$AC$11)</f>
        <v>5052598.1168122236</v>
      </c>
      <c r="C8" s="11">
        <f>SUM(Категории!$AK$5:$AK$11)</f>
        <v>13407640.974865388</v>
      </c>
      <c r="D8" s="11">
        <f t="shared" ref="D8:D14" si="0">C8-B8</f>
        <v>8355042.8580531646</v>
      </c>
    </row>
    <row r="9" spans="1:4" x14ac:dyDescent="0.3">
      <c r="A9" s="4" t="s">
        <v>338</v>
      </c>
      <c r="B9" s="11">
        <f>SUM(Категории!$AD$5:$AD$11)</f>
        <v>1512754.0471217139</v>
      </c>
      <c r="C9" s="11">
        <f>SUM(Категории!$AL$5:$AL$11)</f>
        <v>3744195.4277431462</v>
      </c>
      <c r="D9" s="11">
        <f t="shared" si="0"/>
        <v>2231441.3806214323</v>
      </c>
    </row>
    <row r="10" spans="1:4" x14ac:dyDescent="0.3">
      <c r="A10" s="16" t="s">
        <v>339</v>
      </c>
      <c r="B10" s="17">
        <f>B8+B9</f>
        <v>6565352.1639339374</v>
      </c>
      <c r="C10" s="17">
        <f>C8+C9</f>
        <v>17151836.402608536</v>
      </c>
      <c r="D10" s="17">
        <f t="shared" si="0"/>
        <v>10586484.2386746</v>
      </c>
    </row>
    <row r="11" spans="1:4" x14ac:dyDescent="0.3">
      <c r="A11" s="4" t="s">
        <v>340</v>
      </c>
      <c r="B11" s="13">
        <f>IF($B$4=0,0,B10/$B$4*100)</f>
        <v>1.2597830180006435</v>
      </c>
      <c r="C11" s="13">
        <f>IF($B$4=0,0,C10/$B$4*100)</f>
        <v>3.2911550954159763</v>
      </c>
      <c r="D11" s="13">
        <f t="shared" si="0"/>
        <v>2.031372077415333</v>
      </c>
    </row>
    <row r="12" spans="1:4" x14ac:dyDescent="0.3">
      <c r="A12" s="4" t="s">
        <v>341</v>
      </c>
      <c r="B12" s="18">
        <f>SUM(Категории!$AF$5:$AF$11)</f>
        <v>40</v>
      </c>
      <c r="C12" s="18">
        <f>SUM(Категории!$AN$5:$AN$11)</f>
        <v>52</v>
      </c>
      <c r="D12" s="18">
        <f t="shared" si="0"/>
        <v>12</v>
      </c>
    </row>
    <row r="13" spans="1:4" x14ac:dyDescent="0.3">
      <c r="A13" s="4" t="s">
        <v>342</v>
      </c>
      <c r="B13" s="11">
        <f>B10*(13-implementation_month)/12</f>
        <v>3282676.0819669687</v>
      </c>
      <c r="C13" s="11">
        <f>C10*(13-implementation_month)/12</f>
        <v>8575918.2013042681</v>
      </c>
      <c r="D13" s="11">
        <f t="shared" si="0"/>
        <v>5293242.1193372998</v>
      </c>
    </row>
    <row r="14" spans="1:4" x14ac:dyDescent="0.3">
      <c r="A14" s="4" t="s">
        <v>343</v>
      </c>
      <c r="B14" s="11">
        <f>B10</f>
        <v>6565352.1639339374</v>
      </c>
      <c r="C14" s="11">
        <f>C10</f>
        <v>17151836.402608536</v>
      </c>
      <c r="D14" s="11">
        <f t="shared" si="0"/>
        <v>10586484.2386746</v>
      </c>
    </row>
    <row r="16" spans="1:4" x14ac:dyDescent="0.3">
      <c r="A16" s="7" t="s">
        <v>344</v>
      </c>
    </row>
    <row r="17" spans="1:4" x14ac:dyDescent="0.3">
      <c r="A17" s="21" t="s">
        <v>345</v>
      </c>
      <c r="B17" s="22"/>
      <c r="C17" s="22"/>
      <c r="D17" s="22"/>
    </row>
    <row r="18" spans="1:4" x14ac:dyDescent="0.3">
      <c r="A18" s="22"/>
      <c r="B18" s="22"/>
      <c r="C18" s="22"/>
      <c r="D18" s="22"/>
    </row>
  </sheetData>
  <mergeCells count="1">
    <mergeCell ref="A17:D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3"/>
  <sheetViews>
    <sheetView workbookViewId="0"/>
  </sheetViews>
  <sheetFormatPr defaultRowHeight="14.4" x14ac:dyDescent="0.3"/>
  <cols>
    <col min="1" max="1" width="30" customWidth="1"/>
    <col min="2" max="2" width="110" customWidth="1"/>
  </cols>
  <sheetData>
    <row r="1" spans="1:2" ht="17.399999999999999" x14ac:dyDescent="0.35">
      <c r="A1" s="1" t="s">
        <v>346</v>
      </c>
    </row>
    <row r="3" spans="1:2" x14ac:dyDescent="0.3">
      <c r="A3" s="7" t="s">
        <v>347</v>
      </c>
    </row>
    <row r="4" spans="1:2" ht="15" customHeight="1" x14ac:dyDescent="0.3">
      <c r="A4" s="19" t="s">
        <v>348</v>
      </c>
      <c r="B4" s="20" t="s">
        <v>349</v>
      </c>
    </row>
    <row r="5" spans="1:2" ht="15" customHeight="1" x14ac:dyDescent="0.3">
      <c r="A5" s="19" t="s">
        <v>350</v>
      </c>
      <c r="B5" s="20" t="s">
        <v>351</v>
      </c>
    </row>
    <row r="6" spans="1:2" ht="15" customHeight="1" x14ac:dyDescent="0.3">
      <c r="A6" s="19" t="s">
        <v>352</v>
      </c>
      <c r="B6" s="20" t="s">
        <v>353</v>
      </c>
    </row>
    <row r="7" spans="1:2" x14ac:dyDescent="0.3">
      <c r="A7" s="7"/>
    </row>
    <row r="8" spans="1:2" x14ac:dyDescent="0.3">
      <c r="A8" s="7" t="s">
        <v>354</v>
      </c>
    </row>
    <row r="9" spans="1:2" ht="25.95" customHeight="1" x14ac:dyDescent="0.3">
      <c r="A9" s="19" t="s">
        <v>355</v>
      </c>
      <c r="B9" s="20" t="s">
        <v>356</v>
      </c>
    </row>
    <row r="10" spans="1:2" ht="25.95" customHeight="1" x14ac:dyDescent="0.3">
      <c r="A10" s="19" t="s">
        <v>357</v>
      </c>
      <c r="B10" s="20" t="s">
        <v>358</v>
      </c>
    </row>
    <row r="11" spans="1:2" ht="25.95" customHeight="1" x14ac:dyDescent="0.3">
      <c r="A11" s="19" t="s">
        <v>359</v>
      </c>
      <c r="B11" s="20" t="s">
        <v>360</v>
      </c>
    </row>
    <row r="12" spans="1:2" ht="25.95" customHeight="1" x14ac:dyDescent="0.3">
      <c r="A12" s="19" t="s">
        <v>32</v>
      </c>
      <c r="B12" s="20" t="s">
        <v>361</v>
      </c>
    </row>
    <row r="13" spans="1:2" x14ac:dyDescent="0.3">
      <c r="A13" s="7"/>
    </row>
    <row r="14" spans="1:2" x14ac:dyDescent="0.3">
      <c r="A14" s="7" t="s">
        <v>362</v>
      </c>
    </row>
    <row r="15" spans="1:2" ht="25.95" customHeight="1" x14ac:dyDescent="0.3">
      <c r="A15" s="19" t="s">
        <v>363</v>
      </c>
      <c r="B15" s="20" t="s">
        <v>364</v>
      </c>
    </row>
    <row r="16" spans="1:2" ht="25.95" customHeight="1" x14ac:dyDescent="0.3">
      <c r="A16" s="19" t="s">
        <v>365</v>
      </c>
      <c r="B16" s="20" t="s">
        <v>366</v>
      </c>
    </row>
    <row r="17" spans="1:2" ht="52.05" customHeight="1" x14ac:dyDescent="0.3">
      <c r="A17" s="19" t="s">
        <v>367</v>
      </c>
      <c r="B17" s="20" t="s">
        <v>368</v>
      </c>
    </row>
    <row r="18" spans="1:2" ht="39" customHeight="1" x14ac:dyDescent="0.3">
      <c r="A18" s="19" t="s">
        <v>369</v>
      </c>
      <c r="B18" s="20" t="s">
        <v>370</v>
      </c>
    </row>
    <row r="19" spans="1:2" ht="39" customHeight="1" x14ac:dyDescent="0.3">
      <c r="A19" s="19" t="s">
        <v>371</v>
      </c>
      <c r="B19" s="20" t="s">
        <v>372</v>
      </c>
    </row>
    <row r="20" spans="1:2" ht="25.95" customHeight="1" x14ac:dyDescent="0.3">
      <c r="A20" s="19" t="s">
        <v>373</v>
      </c>
      <c r="B20" s="20" t="s">
        <v>374</v>
      </c>
    </row>
    <row r="21" spans="1:2" ht="52.05" customHeight="1" x14ac:dyDescent="0.3">
      <c r="A21" s="19" t="s">
        <v>375</v>
      </c>
      <c r="B21" s="20" t="s">
        <v>376</v>
      </c>
    </row>
    <row r="22" spans="1:2" ht="25.95" customHeight="1" x14ac:dyDescent="0.3">
      <c r="A22" s="19" t="s">
        <v>377</v>
      </c>
      <c r="B22" s="20" t="s">
        <v>378</v>
      </c>
    </row>
    <row r="23" spans="1:2" ht="52.05" customHeight="1" x14ac:dyDescent="0.3">
      <c r="A23" s="19" t="s">
        <v>379</v>
      </c>
      <c r="B23" s="20" t="s">
        <v>380</v>
      </c>
    </row>
    <row r="24" spans="1:2" ht="15" customHeight="1" x14ac:dyDescent="0.3">
      <c r="A24" s="19" t="s">
        <v>381</v>
      </c>
      <c r="B24" s="20" t="s">
        <v>382</v>
      </c>
    </row>
    <row r="25" spans="1:2" x14ac:dyDescent="0.3">
      <c r="A25" s="7"/>
    </row>
    <row r="26" spans="1:2" x14ac:dyDescent="0.3">
      <c r="A26" s="7" t="s">
        <v>383</v>
      </c>
    </row>
    <row r="27" spans="1:2" ht="25.95" customHeight="1" x14ac:dyDescent="0.3">
      <c r="A27" s="19" t="s">
        <v>334</v>
      </c>
      <c r="B27" s="20" t="s">
        <v>384</v>
      </c>
    </row>
    <row r="28" spans="1:2" ht="15" customHeight="1" x14ac:dyDescent="0.3">
      <c r="A28" s="19" t="s">
        <v>335</v>
      </c>
      <c r="B28" s="20" t="s">
        <v>385</v>
      </c>
    </row>
    <row r="29" spans="1:2" x14ac:dyDescent="0.3">
      <c r="A29" s="7"/>
    </row>
    <row r="30" spans="1:2" x14ac:dyDescent="0.3">
      <c r="A30" s="7" t="s">
        <v>386</v>
      </c>
    </row>
    <row r="31" spans="1:2" ht="25.95" customHeight="1" x14ac:dyDescent="0.3">
      <c r="A31" s="19" t="s">
        <v>387</v>
      </c>
      <c r="B31" s="20" t="s">
        <v>388</v>
      </c>
    </row>
    <row r="32" spans="1:2" ht="39" customHeight="1" x14ac:dyDescent="0.3">
      <c r="A32" s="19" t="s">
        <v>389</v>
      </c>
      <c r="B32" s="20" t="s">
        <v>390</v>
      </c>
    </row>
    <row r="33" spans="1:2" ht="39" customHeight="1" x14ac:dyDescent="0.3">
      <c r="A33" s="19" t="s">
        <v>391</v>
      </c>
      <c r="B33" s="20" t="s">
        <v>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Настройки</vt:lpstr>
      <vt:lpstr>Данные</vt:lpstr>
      <vt:lpstr>Категории</vt:lpstr>
      <vt:lpstr>Итоги</vt:lpstr>
      <vt:lpstr>Пояснения</vt:lpstr>
      <vt:lpstr>ceiling</vt:lpstr>
      <vt:lpstr>implementation_month</vt:lpstr>
      <vt:lpstr>rate_above</vt:lpstr>
      <vt:lpstr>rate_below</vt:lpstr>
      <vt:lpstr>threshold_pct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Olga Dimitrova</cp:lastModifiedBy>
  <dcterms:created xsi:type="dcterms:W3CDTF">2026-10-28T16:26:57Z</dcterms:created>
  <dcterms:modified xsi:type="dcterms:W3CDTF">2026-10-28T16:27:08Z</dcterms:modified>
</cp:coreProperties>
</file>