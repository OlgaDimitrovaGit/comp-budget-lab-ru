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\Projects IA\PROJECT-cb-tools-ru\budget-plan-fact\"/>
    </mc:Choice>
  </mc:AlternateContent>
  <xr:revisionPtr revIDLastSave="0" documentId="13_ncr:1_{34572C77-7A39-41FC-8E3B-0D90252209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Настройки" sheetId="1" r:id="rId1"/>
    <sheet name="Тренд" sheetId="2" r:id="rId2"/>
    <sheet name="Данные" sheetId="3" r:id="rId3"/>
    <sheet name="Месяцы" sheetId="4" r:id="rId4"/>
    <sheet name="Подразделения" sheetId="5" r:id="rId5"/>
    <sheet name="Итоги" sheetId="6" r:id="rId6"/>
    <sheet name="Пояснения" sheetId="7" r:id="rId7"/>
  </sheets>
  <definedNames>
    <definedName name="_xlnm._FilterDatabase" localSheetId="2" hidden="1">Данные!$A$4:$J$88</definedName>
    <definedName name="alert_threshold">Настройки!$B$8</definedName>
    <definedName name="fact_months">Настройки!$B$7</definedName>
  </definedNames>
  <calcPr calcId="181029"/>
</workbook>
</file>

<file path=xl/calcChain.xml><?xml version="1.0" encoding="utf-8"?>
<calcChain xmlns="http://schemas.openxmlformats.org/spreadsheetml/2006/main">
  <c r="F11" i="5" l="1"/>
  <c r="C11" i="5"/>
  <c r="B11" i="5"/>
  <c r="F10" i="5"/>
  <c r="C10" i="5"/>
  <c r="B10" i="5"/>
  <c r="F9" i="5"/>
  <c r="C9" i="5"/>
  <c r="B9" i="5"/>
  <c r="F8" i="5"/>
  <c r="C8" i="5"/>
  <c r="B8" i="5"/>
  <c r="F7" i="5"/>
  <c r="C7" i="5"/>
  <c r="B7" i="5"/>
  <c r="F6" i="5"/>
  <c r="C6" i="5"/>
  <c r="B6" i="5"/>
  <c r="F5" i="5"/>
  <c r="F12" i="5" s="1"/>
  <c r="C5" i="5"/>
  <c r="D5" i="5" s="1"/>
  <c r="E5" i="5" s="1"/>
  <c r="B5" i="5"/>
  <c r="C17" i="4"/>
  <c r="C16" i="4"/>
  <c r="C15" i="4"/>
  <c r="C14" i="4"/>
  <c r="C13" i="4"/>
  <c r="C12" i="4"/>
  <c r="C11" i="4"/>
  <c r="C10" i="4"/>
  <c r="C9" i="4"/>
  <c r="C8" i="4"/>
  <c r="C7" i="4"/>
  <c r="C6" i="4"/>
  <c r="F88" i="3"/>
  <c r="G88" i="3" s="1"/>
  <c r="H88" i="3" s="1"/>
  <c r="I88" i="3" s="1"/>
  <c r="F87" i="3"/>
  <c r="G87" i="3" s="1"/>
  <c r="H87" i="3" s="1"/>
  <c r="I87" i="3" s="1"/>
  <c r="F86" i="3"/>
  <c r="G86" i="3" s="1"/>
  <c r="H86" i="3" s="1"/>
  <c r="I86" i="3" s="1"/>
  <c r="F85" i="3"/>
  <c r="G85" i="3" s="1"/>
  <c r="H85" i="3" s="1"/>
  <c r="I85" i="3" s="1"/>
  <c r="G84" i="3"/>
  <c r="H84" i="3" s="1"/>
  <c r="I84" i="3" s="1"/>
  <c r="F84" i="3"/>
  <c r="G83" i="3"/>
  <c r="H83" i="3" s="1"/>
  <c r="I83" i="3" s="1"/>
  <c r="F83" i="3"/>
  <c r="G82" i="3"/>
  <c r="F82" i="3"/>
  <c r="G81" i="3"/>
  <c r="H81" i="3" s="1"/>
  <c r="I81" i="3" s="1"/>
  <c r="F81" i="3"/>
  <c r="G80" i="3"/>
  <c r="H80" i="3" s="1"/>
  <c r="I80" i="3" s="1"/>
  <c r="F80" i="3"/>
  <c r="G79" i="3"/>
  <c r="H79" i="3" s="1"/>
  <c r="I79" i="3" s="1"/>
  <c r="F79" i="3"/>
  <c r="G78" i="3"/>
  <c r="H78" i="3" s="1"/>
  <c r="I78" i="3" s="1"/>
  <c r="F78" i="3"/>
  <c r="G77" i="3"/>
  <c r="H77" i="3" s="1"/>
  <c r="F77" i="3"/>
  <c r="F76" i="3"/>
  <c r="G76" i="3" s="1"/>
  <c r="H76" i="3" s="1"/>
  <c r="I76" i="3" s="1"/>
  <c r="F75" i="3"/>
  <c r="G75" i="3" s="1"/>
  <c r="H75" i="3" s="1"/>
  <c r="I75" i="3" s="1"/>
  <c r="F74" i="3"/>
  <c r="G74" i="3" s="1"/>
  <c r="H74" i="3" s="1"/>
  <c r="I74" i="3" s="1"/>
  <c r="F73" i="3"/>
  <c r="G73" i="3" s="1"/>
  <c r="H73" i="3" s="1"/>
  <c r="I73" i="3" s="1"/>
  <c r="G72" i="3"/>
  <c r="H72" i="3" s="1"/>
  <c r="I72" i="3" s="1"/>
  <c r="F72" i="3"/>
  <c r="G71" i="3"/>
  <c r="F71" i="3"/>
  <c r="G70" i="3"/>
  <c r="H70" i="3" s="1"/>
  <c r="I70" i="3" s="1"/>
  <c r="F70" i="3"/>
  <c r="G69" i="3"/>
  <c r="H69" i="3" s="1"/>
  <c r="I69" i="3" s="1"/>
  <c r="F69" i="3"/>
  <c r="G68" i="3"/>
  <c r="H68" i="3" s="1"/>
  <c r="I68" i="3" s="1"/>
  <c r="F68" i="3"/>
  <c r="G67" i="3"/>
  <c r="H67" i="3" s="1"/>
  <c r="I67" i="3" s="1"/>
  <c r="F67" i="3"/>
  <c r="G66" i="3"/>
  <c r="H66" i="3" s="1"/>
  <c r="I66" i="3" s="1"/>
  <c r="F66" i="3"/>
  <c r="G65" i="3"/>
  <c r="H65" i="3" s="1"/>
  <c r="F65" i="3"/>
  <c r="F64" i="3"/>
  <c r="G64" i="3" s="1"/>
  <c r="H64" i="3" s="1"/>
  <c r="I64" i="3" s="1"/>
  <c r="F63" i="3"/>
  <c r="G63" i="3" s="1"/>
  <c r="H63" i="3" s="1"/>
  <c r="I63" i="3" s="1"/>
  <c r="F62" i="3"/>
  <c r="G62" i="3" s="1"/>
  <c r="F61" i="3"/>
  <c r="G61" i="3" s="1"/>
  <c r="H61" i="3" s="1"/>
  <c r="I61" i="3" s="1"/>
  <c r="G60" i="3"/>
  <c r="H60" i="3" s="1"/>
  <c r="I60" i="3" s="1"/>
  <c r="F60" i="3"/>
  <c r="G59" i="3"/>
  <c r="H59" i="3" s="1"/>
  <c r="I59" i="3" s="1"/>
  <c r="F59" i="3"/>
  <c r="G58" i="3"/>
  <c r="H58" i="3" s="1"/>
  <c r="I58" i="3" s="1"/>
  <c r="F58" i="3"/>
  <c r="G57" i="3"/>
  <c r="H57" i="3" s="1"/>
  <c r="I57" i="3" s="1"/>
  <c r="F57" i="3"/>
  <c r="G56" i="3"/>
  <c r="H56" i="3" s="1"/>
  <c r="I56" i="3" s="1"/>
  <c r="F56" i="3"/>
  <c r="G55" i="3"/>
  <c r="H55" i="3" s="1"/>
  <c r="I55" i="3" s="1"/>
  <c r="F55" i="3"/>
  <c r="G54" i="3"/>
  <c r="H54" i="3" s="1"/>
  <c r="I54" i="3" s="1"/>
  <c r="F54" i="3"/>
  <c r="G53" i="3"/>
  <c r="H53" i="3" s="1"/>
  <c r="F53" i="3"/>
  <c r="F52" i="3"/>
  <c r="G52" i="3" s="1"/>
  <c r="H52" i="3" s="1"/>
  <c r="I52" i="3" s="1"/>
  <c r="F51" i="3"/>
  <c r="G51" i="3" s="1"/>
  <c r="H51" i="3" s="1"/>
  <c r="I51" i="3" s="1"/>
  <c r="F50" i="3"/>
  <c r="G50" i="3" s="1"/>
  <c r="H50" i="3" s="1"/>
  <c r="I50" i="3" s="1"/>
  <c r="F49" i="3"/>
  <c r="G49" i="3" s="1"/>
  <c r="G48" i="3"/>
  <c r="H48" i="3" s="1"/>
  <c r="I48" i="3" s="1"/>
  <c r="F48" i="3"/>
  <c r="G47" i="3"/>
  <c r="H47" i="3" s="1"/>
  <c r="I47" i="3" s="1"/>
  <c r="F47" i="3"/>
  <c r="G46" i="3"/>
  <c r="H46" i="3" s="1"/>
  <c r="I46" i="3" s="1"/>
  <c r="F46" i="3"/>
  <c r="G45" i="3"/>
  <c r="H45" i="3" s="1"/>
  <c r="I45" i="3" s="1"/>
  <c r="F45" i="3"/>
  <c r="G44" i="3"/>
  <c r="H44" i="3" s="1"/>
  <c r="I44" i="3" s="1"/>
  <c r="F44" i="3"/>
  <c r="G43" i="3"/>
  <c r="H43" i="3" s="1"/>
  <c r="I43" i="3" s="1"/>
  <c r="F43" i="3"/>
  <c r="G42" i="3"/>
  <c r="H42" i="3" s="1"/>
  <c r="I42" i="3" s="1"/>
  <c r="F42" i="3"/>
  <c r="G41" i="3"/>
  <c r="H41" i="3" s="1"/>
  <c r="F41" i="3"/>
  <c r="F40" i="3"/>
  <c r="G40" i="3" s="1"/>
  <c r="H40" i="3" s="1"/>
  <c r="I40" i="3" s="1"/>
  <c r="F39" i="3"/>
  <c r="G39" i="3" s="1"/>
  <c r="H39" i="3" s="1"/>
  <c r="I39" i="3" s="1"/>
  <c r="F38" i="3"/>
  <c r="G38" i="3" s="1"/>
  <c r="H38" i="3" s="1"/>
  <c r="I38" i="3" s="1"/>
  <c r="F37" i="3"/>
  <c r="G37" i="3" s="1"/>
  <c r="G36" i="3"/>
  <c r="H36" i="3" s="1"/>
  <c r="I36" i="3" s="1"/>
  <c r="F36" i="3"/>
  <c r="G35" i="3"/>
  <c r="H35" i="3" s="1"/>
  <c r="I35" i="3" s="1"/>
  <c r="F35" i="3"/>
  <c r="G34" i="3"/>
  <c r="H34" i="3" s="1"/>
  <c r="I34" i="3" s="1"/>
  <c r="F34" i="3"/>
  <c r="G33" i="3"/>
  <c r="H33" i="3" s="1"/>
  <c r="I33" i="3" s="1"/>
  <c r="F33" i="3"/>
  <c r="G32" i="3"/>
  <c r="H32" i="3" s="1"/>
  <c r="I32" i="3" s="1"/>
  <c r="F32" i="3"/>
  <c r="G31" i="3"/>
  <c r="H31" i="3" s="1"/>
  <c r="I31" i="3" s="1"/>
  <c r="F31" i="3"/>
  <c r="G30" i="3"/>
  <c r="H30" i="3" s="1"/>
  <c r="I30" i="3" s="1"/>
  <c r="F30" i="3"/>
  <c r="G29" i="3"/>
  <c r="H29" i="3" s="1"/>
  <c r="F29" i="3"/>
  <c r="F28" i="3"/>
  <c r="G28" i="3" s="1"/>
  <c r="H28" i="3" s="1"/>
  <c r="I28" i="3" s="1"/>
  <c r="F27" i="3"/>
  <c r="G27" i="3" s="1"/>
  <c r="H27" i="3" s="1"/>
  <c r="I27" i="3" s="1"/>
  <c r="F26" i="3"/>
  <c r="G26" i="3" s="1"/>
  <c r="H26" i="3" s="1"/>
  <c r="I26" i="3" s="1"/>
  <c r="F25" i="3"/>
  <c r="G25" i="3" s="1"/>
  <c r="G24" i="3"/>
  <c r="H24" i="3" s="1"/>
  <c r="I24" i="3" s="1"/>
  <c r="F24" i="3"/>
  <c r="G23" i="3"/>
  <c r="H23" i="3" s="1"/>
  <c r="I23" i="3" s="1"/>
  <c r="F23" i="3"/>
  <c r="G22" i="3"/>
  <c r="H22" i="3" s="1"/>
  <c r="I22" i="3" s="1"/>
  <c r="F22" i="3"/>
  <c r="G21" i="3"/>
  <c r="H21" i="3" s="1"/>
  <c r="I21" i="3" s="1"/>
  <c r="F21" i="3"/>
  <c r="G20" i="3"/>
  <c r="H20" i="3" s="1"/>
  <c r="I20" i="3" s="1"/>
  <c r="F20" i="3"/>
  <c r="G19" i="3"/>
  <c r="H19" i="3" s="1"/>
  <c r="I19" i="3" s="1"/>
  <c r="F19" i="3"/>
  <c r="G18" i="3"/>
  <c r="H18" i="3" s="1"/>
  <c r="I18" i="3" s="1"/>
  <c r="F18" i="3"/>
  <c r="G17" i="3"/>
  <c r="H17" i="3" s="1"/>
  <c r="F17" i="3"/>
  <c r="F16" i="3"/>
  <c r="G16" i="3" s="1"/>
  <c r="F15" i="3"/>
  <c r="G15" i="3" s="1"/>
  <c r="F14" i="3"/>
  <c r="G14" i="3" s="1"/>
  <c r="F13" i="3"/>
  <c r="G13" i="3" s="1"/>
  <c r="G12" i="3"/>
  <c r="F12" i="3"/>
  <c r="G11" i="3"/>
  <c r="H11" i="3" s="1"/>
  <c r="I11" i="3" s="1"/>
  <c r="F11" i="3"/>
  <c r="G10" i="3"/>
  <c r="H10" i="3" s="1"/>
  <c r="I10" i="3" s="1"/>
  <c r="F10" i="3"/>
  <c r="G9" i="3"/>
  <c r="F9" i="3"/>
  <c r="G8" i="3"/>
  <c r="F8" i="3"/>
  <c r="G7" i="3"/>
  <c r="F7" i="3"/>
  <c r="G6" i="3"/>
  <c r="F6" i="3"/>
  <c r="G5" i="3"/>
  <c r="F5" i="3"/>
  <c r="D11" i="5" l="1"/>
  <c r="E11" i="5" s="1"/>
  <c r="D10" i="5"/>
  <c r="E10" i="5" s="1"/>
  <c r="D9" i="5"/>
  <c r="E9" i="5" s="1"/>
  <c r="D8" i="5"/>
  <c r="E8" i="5" s="1"/>
  <c r="D7" i="5"/>
  <c r="E7" i="5" s="1"/>
  <c r="D6" i="5"/>
  <c r="C12" i="5"/>
  <c r="B12" i="5"/>
  <c r="H12" i="3"/>
  <c r="I12" i="3" s="1"/>
  <c r="D13" i="4"/>
  <c r="E13" i="4" s="1"/>
  <c r="F13" i="4" s="1"/>
  <c r="H9" i="3"/>
  <c r="I9" i="3" s="1"/>
  <c r="D10" i="4"/>
  <c r="E10" i="4" s="1"/>
  <c r="F10" i="4" s="1"/>
  <c r="H8" i="3"/>
  <c r="I8" i="3" s="1"/>
  <c r="D9" i="4"/>
  <c r="E9" i="4" s="1"/>
  <c r="F9" i="4" s="1"/>
  <c r="H7" i="3"/>
  <c r="I7" i="3" s="1"/>
  <c r="D8" i="4"/>
  <c r="E8" i="4" s="1"/>
  <c r="F8" i="4" s="1"/>
  <c r="H6" i="3"/>
  <c r="I6" i="3" s="1"/>
  <c r="D7" i="4"/>
  <c r="E7" i="4" s="1"/>
  <c r="F7" i="4" s="1"/>
  <c r="H5" i="3"/>
  <c r="D6" i="4"/>
  <c r="E6" i="4" s="1"/>
  <c r="E6" i="5"/>
  <c r="D12" i="5"/>
  <c r="E12" i="5" s="1"/>
  <c r="C18" i="4"/>
  <c r="B17" i="6" s="1"/>
  <c r="B5" i="6"/>
  <c r="D11" i="4"/>
  <c r="G11" i="5"/>
  <c r="H11" i="5" s="1"/>
  <c r="I11" i="5" s="1"/>
  <c r="H82" i="3"/>
  <c r="I82" i="3" s="1"/>
  <c r="I77" i="3"/>
  <c r="J77" i="3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H71" i="3"/>
  <c r="I71" i="3" s="1"/>
  <c r="G10" i="5"/>
  <c r="H10" i="5" s="1"/>
  <c r="I10" i="5" s="1"/>
  <c r="D12" i="4"/>
  <c r="E12" i="4" s="1"/>
  <c r="F12" i="4" s="1"/>
  <c r="I65" i="3"/>
  <c r="J65" i="3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H62" i="3"/>
  <c r="I62" i="3" s="1"/>
  <c r="G9" i="5"/>
  <c r="H9" i="5" s="1"/>
  <c r="I9" i="5" s="1"/>
  <c r="I53" i="3"/>
  <c r="J53" i="3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H49" i="3"/>
  <c r="I49" i="3" s="1"/>
  <c r="G8" i="5"/>
  <c r="H8" i="5" s="1"/>
  <c r="I8" i="5" s="1"/>
  <c r="I41" i="3"/>
  <c r="J41" i="3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H37" i="3"/>
  <c r="I37" i="3" s="1"/>
  <c r="G7" i="5"/>
  <c r="H7" i="5" s="1"/>
  <c r="I7" i="5" s="1"/>
  <c r="I29" i="3"/>
  <c r="J29" i="3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H25" i="3"/>
  <c r="I25" i="3" s="1"/>
  <c r="G6" i="5"/>
  <c r="H6" i="5" s="1"/>
  <c r="I6" i="5" s="1"/>
  <c r="I17" i="3"/>
  <c r="J17" i="3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H16" i="3"/>
  <c r="I16" i="3" s="1"/>
  <c r="D17" i="4"/>
  <c r="E17" i="4" s="1"/>
  <c r="F17" i="4" s="1"/>
  <c r="H15" i="3"/>
  <c r="I15" i="3" s="1"/>
  <c r="D16" i="4"/>
  <c r="E16" i="4" s="1"/>
  <c r="F16" i="4" s="1"/>
  <c r="H14" i="3"/>
  <c r="I14" i="3" s="1"/>
  <c r="D15" i="4"/>
  <c r="E15" i="4" s="1"/>
  <c r="F15" i="4" s="1"/>
  <c r="H13" i="3"/>
  <c r="I13" i="3" s="1"/>
  <c r="G5" i="5"/>
  <c r="D14" i="4"/>
  <c r="E14" i="4" s="1"/>
  <c r="F14" i="4" s="1"/>
  <c r="I5" i="3"/>
  <c r="J5" i="3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D18" i="4" l="1"/>
  <c r="B18" i="6" s="1"/>
  <c r="B19" i="6"/>
  <c r="B20" i="6" s="1"/>
  <c r="B21" i="6" s="1"/>
  <c r="G6" i="4"/>
  <c r="F6" i="4"/>
  <c r="E11" i="4"/>
  <c r="B6" i="6"/>
  <c r="H5" i="5"/>
  <c r="G12" i="5"/>
  <c r="B11" i="6"/>
  <c r="B7" i="6" l="1"/>
  <c r="B8" i="6" s="1"/>
  <c r="B12" i="6"/>
  <c r="B13" i="6" s="1"/>
  <c r="B14" i="6" s="1"/>
  <c r="B23" i="6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I5" i="5"/>
  <c r="H12" i="5"/>
  <c r="I12" i="5" s="1"/>
  <c r="F11" i="4"/>
  <c r="E18" i="4"/>
  <c r="F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 Budget Lab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ФОТ без страховых взносов, разложенный по месяцам с учётом сезонности отпусков: выше в начале и конце года, ниже летом.</t>
        </r>
      </text>
    </comment>
    <comment ref="E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Факт за месяцы 1..fact_months. Дальше пусто.</t>
        </r>
      </text>
    </comment>
    <comment ref="F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Прогноз на оставшиеся месяцы: план, умноженный на (1 + тренд подразделения с листа «Тренд»).</t>
        </r>
      </text>
    </comment>
    <comment ref="G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То из двух, что известно за месяц: факт, если он есть, иначе прогноз.</t>
        </r>
      </text>
    </comment>
    <comment ref="J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Нарастающий итог отклонения внутри подразделения с января. Показывает, копятся месячные отклонения за год или гасят друг друга.</t>
        </r>
      </text>
    </comment>
  </commentList>
</comments>
</file>

<file path=xl/sharedStrings.xml><?xml version="1.0" encoding="utf-8"?>
<sst xmlns="http://schemas.openxmlformats.org/spreadsheetml/2006/main" count="315" uniqueCount="124">
  <si>
    <t>Настройки модели</t>
  </si>
  <si>
    <t>План-факт ФОТ. Данные смоделированы, это иллюстрация метода. Comp Budget Lab.</t>
  </si>
  <si>
    <t>Менять можно только зелёные ячейки. Всё остальное пересчитается само.</t>
  </si>
  <si>
    <t>Имя</t>
  </si>
  <si>
    <t>Значение</t>
  </si>
  <si>
    <t>Что это</t>
  </si>
  <si>
    <t>Пояснение</t>
  </si>
  <si>
    <t>fact_months</t>
  </si>
  <si>
    <t>Месяцев с фактом</t>
  </si>
  <si>
    <t>Месяцы нумеруются с января: 8 значит, что факт есть по август включительно. Остальные месяцы — прогноз.</t>
  </si>
  <si>
    <t>alert_threshold</t>
  </si>
  <si>
    <t>Порог сигнала</t>
  </si>
  <si>
    <t>Если ожидание на год выше плана на этот процент или больше, на листе «Итоги» загорается «проблема».</t>
  </si>
  <si>
    <t>Что в плане</t>
  </si>
  <si>
    <t>План — ФОТ подразделения: оклады и переменная часть, без страховых взносов работодателя. Годовая сумма разложена по месяцам с учётом сезонности отпусков. Прогноз на оставшиеся месяцы продолжает тренд каждого подразделения: кто восемь месяцев шёл выше плана, тот и дальше идёт выше.</t>
  </si>
  <si>
    <t>Тренд подразделений</t>
  </si>
  <si>
    <t>На сколько процентов подразделение шло выше (или ниже) плана в месяцы с фактом. Прогноз на оставшиеся месяцы — план, умноженный на (1 + тренд). Это исходные данные: поменяйте тренд, и прогноз с итогами пересчитаются.</t>
  </si>
  <si>
    <t>Подразделение</t>
  </si>
  <si>
    <t>Тренд, %</t>
  </si>
  <si>
    <t>Разработка</t>
  </si>
  <si>
    <t>Продажи</t>
  </si>
  <si>
    <t>Операции</t>
  </si>
  <si>
    <t>Производство</t>
  </si>
  <si>
    <t>Маркетинг</t>
  </si>
  <si>
    <t>Поддержка клиентов</t>
  </si>
  <si>
    <t>Юристы</t>
  </si>
  <si>
    <t>План и факт по подразделениям и месяцам</t>
  </si>
  <si>
    <t>Жёлтое — из CSV. Голубое — считается здесь. Отклонение — факт (или прогноз) минус план: плюс значит перерасход.</t>
  </si>
  <si>
    <t>Месяц</t>
  </si>
  <si>
    <t>№</t>
  </si>
  <si>
    <t>План, ₽</t>
  </si>
  <si>
    <t>Факт, ₽</t>
  </si>
  <si>
    <t>Прогноз, ₽</t>
  </si>
  <si>
    <t>Ожидание, ₽</t>
  </si>
  <si>
    <t>Отклонение, ₽</t>
  </si>
  <si>
    <t>Отклонение, %</t>
  </si>
  <si>
    <t>Накопительно, ₽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</si>
  <si>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</si>
  <si>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</si>
  <si>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</si>
  <si>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</si>
  <si>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</si>
  <si>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</si>
  <si>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</si>
  <si>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</si>
  <si>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</si>
  <si>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</si>
  <si>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</si>
  <si>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</si>
  <si>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 по компании за каждый месяц</t>
  </si>
  <si>
    <t>Две разные величины. Месячное отклонение говорит, насколько этот месяц ушёл от плана; накопительное несёт в себе все месяцы до него. Месяц может стать лучше, а накопительное — продолжать расти.</t>
  </si>
  <si>
    <t>ГОД</t>
  </si>
  <si>
    <t>По подразделениям: месяцы с фактом и год</t>
  </si>
  <si>
    <t>Знак отклонения внутри подразделения устойчив: оно весь год либо выше плана, либо ниже. Перерасход обычно сидит в одном месте.</t>
  </si>
  <si>
    <t>План с начала года, ₽</t>
  </si>
  <si>
    <t>Факт с начала года, ₽</t>
  </si>
  <si>
    <t>План на год, ₽</t>
  </si>
  <si>
    <t>Ожидание на год, ₽</t>
  </si>
  <si>
    <t>Отклонение за год, ₽</t>
  </si>
  <si>
    <t>За год, %</t>
  </si>
  <si>
    <t>ИТОГО</t>
  </si>
  <si>
    <t>Итоги</t>
  </si>
  <si>
    <t>cells_for_check</t>
  </si>
  <si>
    <t>Каждая цифра здесь — формула. Поменяйте факт на листе «Данные» и посмотрите, как всё пересчитается.</t>
  </si>
  <si>
    <t>plan8</t>
  </si>
  <si>
    <t>B5</t>
  </si>
  <si>
    <t>fact8</t>
  </si>
  <si>
    <t>B6</t>
  </si>
  <si>
    <t>Месяцы с фактом</t>
  </si>
  <si>
    <t>fc4</t>
  </si>
  <si>
    <t>B12</t>
  </si>
  <si>
    <t>План с начала года</t>
  </si>
  <si>
    <t>yplan</t>
  </si>
  <si>
    <t>B17</t>
  </si>
  <si>
    <t>Факт с начала года</t>
  </si>
  <si>
    <t>yexp</t>
  </si>
  <si>
    <t>B18</t>
  </si>
  <si>
    <t>Отклонение</t>
  </si>
  <si>
    <t>ydelta</t>
  </si>
  <si>
    <t>B19</t>
  </si>
  <si>
    <t>В % к плану</t>
  </si>
  <si>
    <t>cross</t>
  </si>
  <si>
    <t>B23</t>
  </si>
  <si>
    <t>signal</t>
  </si>
  <si>
    <t>B21</t>
  </si>
  <si>
    <t>Оставшиеся месяцы</t>
  </si>
  <si>
    <t>План</t>
  </si>
  <si>
    <t>Прогноз</t>
  </si>
  <si>
    <t>Год целиком</t>
  </si>
  <si>
    <t>Ожидание (факт + прогноз)</t>
  </si>
  <si>
    <t>Сигнал</t>
  </si>
  <si>
    <t>Первый месяц, когда накопительно выше плана</t>
  </si>
  <si>
    <t>Отклонение везде — ожидание минус план. Плюс значит, что компания потратила больше плана, минус — меньше. Столбцы D и E — служебные: по ним проверочный скрипт находит итоговые ячейки.</t>
  </si>
  <si>
    <t>Пояснения и метод</t>
  </si>
  <si>
    <t>Цвета</t>
  </si>
  <si>
    <t>Жёлтый</t>
  </si>
  <si>
    <t>Исходные данные. Берутся из CSV, не считаются.</t>
  </si>
  <si>
    <t>Голубой</t>
  </si>
  <si>
    <t>Считается формулой. Эти ячейки пересчитываются сами.</t>
  </si>
  <si>
    <t>Зелёный</t>
  </si>
  <si>
    <t>Настройка на листе «Настройки». Их можно менять.</t>
  </si>
  <si>
    <t>Порядок расчёта</t>
  </si>
  <si>
    <t>1. План</t>
  </si>
  <si>
    <t>ФОТ подразделения на год — оклады и переменная часть, без страховых взносов работодателя. Разложен на двенадцать месяцев с учётом сезонности отпусков: выше в начале и конце года, ниже летом. Коэффициенты сезонности в сумме дают двенадцать, поэтому сезонность двигает деньги внутри года, не меняя годовую сумму.</t>
  </si>
  <si>
    <t>2. Факт</t>
  </si>
  <si>
    <t>Месяцы 1..fact_months. Знак отклонения в подразделении устойчив: оно весь год либо выше плана, либо ниже. Одно подразделение заметно выбивается из ряда: бюджет редко расходится ровно, он расходится в одном месте.</t>
  </si>
  <si>
    <t>3. Прогноз</t>
  </si>
  <si>
    <t>На оставшиеся месяцы — план, умноженный на (1 + тренд подразделения). Тренд — отклонение подразделения от плана в месяцы с фактом, лист «Тренд». Прогноз «ровно по плану» молча предполагал бы, что перерасход с сентября исчезнет.</t>
  </si>
  <si>
    <t>4. Отклонение</t>
  </si>
  <si>
    <t>Ожидание минус план. Плюс — перерасход. Показано и по месяцам, и нарастающим итогом с января.</t>
  </si>
  <si>
    <t>5. Год и сигнал</t>
  </si>
  <si>
    <t>План против факта и прогноза. Если ожидание на год выше плана на порог или больше (настройка alert_threshold, по умолчанию 3%), сигнал — «проблема».</t>
  </si>
  <si>
    <t>Две величины, которые не надо путать</t>
  </si>
  <si>
    <t>Месячное отклонение</t>
  </si>
  <si>
    <t>Насколько один месяц ушёл от плана. Отвечает на вопрос: этот месяц хуже прошлого?</t>
  </si>
  <si>
    <t>Накопительное отклонение</t>
  </si>
  <si>
    <t>То же самое, сложенное с января. Отвечает на другой вопрос: какая часть годового бюджета уже ушла сверх плана. Месяц может улучшиться, а накопительное — расти. Обе цифры верны; одну нельзя читать вместо другой.</t>
  </si>
  <si>
    <t>Чего эта модель не делает</t>
  </si>
  <si>
    <t>Не объясняет отклонения</t>
  </si>
  <si>
    <t>Показывает, где и сколько, но не почему. Причины выясняются в разговоре с руководителем подразделения, а не на экране.</t>
  </si>
  <si>
    <t>Страховые взносы</t>
  </si>
  <si>
    <t>В план и факт не входят: ФОТ здесь — оклады и переменная часть. Если ваш бюджет ведётся вместе со взносами, загрузите суммы со взносами — модель считает отклонения от того, что в файле.</t>
  </si>
  <si>
    <t>Данные смоделированы</t>
  </si>
  <si>
    <t>Получены генератором со сидом, а не из реальной компании. Модель показывает подход к контролю бюджета и не является юридической или бухгалтерской консультацией.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</si>
</sst>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9"/>
      <color rgb="FF6B7280"/>
      <name val="Calibri"/>
    </font>
    <font>
      <b/>
      <sz val="10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E6F4EA"/>
      </patternFill>
    </fill>
    <fill>
      <patternFill patternType="solid">
        <fgColor rgb="FFFFF4D6"/>
      </patternFill>
    </fill>
    <fill>
      <patternFill patternType="solid">
        <fgColor rgb="FFEAF3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4" fillId="3" borderId="1" xfId="0" applyNumberFormat="1" applyFont="1" applyFill="1" applyBorder="1"/>
    <xf numFmtId="0" fontId="0" fillId="0" borderId="1" xfId="0" applyBorder="1" applyAlignment="1">
      <alignment vertical="top" wrapText="1"/>
    </xf>
    <xf numFmtId="164" fontId="4" fillId="3" borderId="1" xfId="0" applyNumberFormat="1" applyFont="1" applyFill="1" applyBorder="1"/>
    <xf numFmtId="0" fontId="4" fillId="0" borderId="0" xfId="0" applyFont="1"/>
    <xf numFmtId="2" fontId="0" fillId="4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10" fontId="0" fillId="5" borderId="1" xfId="0" applyNumberFormat="1" applyFill="1" applyBorder="1"/>
    <xf numFmtId="4" fontId="4" fillId="0" borderId="1" xfId="0" applyNumberFormat="1" applyFont="1" applyBorder="1"/>
    <xf numFmtId="10" fontId="4" fillId="0" borderId="1" xfId="0" applyNumberFormat="1" applyFont="1" applyBorder="1"/>
    <xf numFmtId="0" fontId="0" fillId="5" borderId="1" xfId="0" applyFill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4.4" x14ac:dyDescent="0.3"/>
  <cols>
    <col min="1" max="1" width="18" customWidth="1"/>
    <col min="2" max="2" width="12" customWidth="1"/>
    <col min="3" max="3" width="22" customWidth="1"/>
    <col min="4" max="4" width="80" customWidth="1"/>
  </cols>
  <sheetData>
    <row r="1" spans="1:4" ht="17.399999999999999" x14ac:dyDescent="0.35">
      <c r="A1" s="1" t="s">
        <v>0</v>
      </c>
    </row>
    <row r="2" spans="1:4" x14ac:dyDescent="0.3">
      <c r="A2" s="2" t="s">
        <v>1</v>
      </c>
    </row>
    <row r="4" spans="1:4" x14ac:dyDescent="0.3">
      <c r="A4" s="2" t="s">
        <v>2</v>
      </c>
    </row>
    <row r="6" spans="1:4" ht="30" customHeight="1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4" ht="28.05" customHeight="1" x14ac:dyDescent="0.3">
      <c r="A7" s="4" t="s">
        <v>7</v>
      </c>
      <c r="B7" s="5">
        <v>8</v>
      </c>
      <c r="C7" s="4" t="s">
        <v>8</v>
      </c>
      <c r="D7" s="6" t="s">
        <v>9</v>
      </c>
    </row>
    <row r="8" spans="1:4" ht="28.05" customHeight="1" x14ac:dyDescent="0.3">
      <c r="A8" s="4" t="s">
        <v>10</v>
      </c>
      <c r="B8" s="7">
        <v>0.03</v>
      </c>
      <c r="C8" s="4" t="s">
        <v>11</v>
      </c>
      <c r="D8" s="6" t="s">
        <v>12</v>
      </c>
    </row>
    <row r="11" spans="1:4" x14ac:dyDescent="0.3">
      <c r="A11" s="8" t="s">
        <v>13</v>
      </c>
    </row>
    <row r="12" spans="1:4" x14ac:dyDescent="0.3">
      <c r="A12" s="19" t="s">
        <v>14</v>
      </c>
      <c r="B12" s="20"/>
      <c r="C12" s="20"/>
      <c r="D12" s="20"/>
    </row>
    <row r="13" spans="1:4" x14ac:dyDescent="0.3">
      <c r="A13" s="20"/>
      <c r="B13" s="20"/>
      <c r="C13" s="20"/>
      <c r="D13" s="20"/>
    </row>
    <row r="14" spans="1:4" x14ac:dyDescent="0.3">
      <c r="A14" s="20"/>
      <c r="B14" s="20"/>
      <c r="C14" s="20"/>
      <c r="D14" s="20"/>
    </row>
  </sheetData>
  <mergeCells count="1">
    <mergeCell ref="A12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</cols>
  <sheetData>
    <row r="1" spans="1:3" ht="17.399999999999999" x14ac:dyDescent="0.35">
      <c r="A1" s="1" t="s">
        <v>15</v>
      </c>
    </row>
    <row r="2" spans="1:3" x14ac:dyDescent="0.3">
      <c r="A2" s="19" t="s">
        <v>16</v>
      </c>
      <c r="B2" s="20"/>
      <c r="C2" s="20"/>
    </row>
    <row r="3" spans="1:3" x14ac:dyDescent="0.3">
      <c r="A3" s="20"/>
      <c r="B3" s="20"/>
      <c r="C3" s="20"/>
    </row>
    <row r="5" spans="1:3" ht="30" customHeight="1" x14ac:dyDescent="0.3">
      <c r="A5" s="3" t="s">
        <v>17</v>
      </c>
      <c r="B5" s="3" t="s">
        <v>18</v>
      </c>
    </row>
    <row r="6" spans="1:3" x14ac:dyDescent="0.3">
      <c r="A6" s="4" t="s">
        <v>19</v>
      </c>
      <c r="B6" s="9">
        <v>2.9725152375000001</v>
      </c>
    </row>
    <row r="7" spans="1:3" x14ac:dyDescent="0.3">
      <c r="A7" s="4" t="s">
        <v>20</v>
      </c>
      <c r="B7" s="9">
        <v>9.5584810948999994</v>
      </c>
    </row>
    <row r="8" spans="1:3" x14ac:dyDescent="0.3">
      <c r="A8" s="4" t="s">
        <v>21</v>
      </c>
      <c r="B8" s="9">
        <v>2.7245623960000001</v>
      </c>
    </row>
    <row r="9" spans="1:3" x14ac:dyDescent="0.3">
      <c r="A9" s="4" t="s">
        <v>22</v>
      </c>
      <c r="B9" s="9">
        <v>2.9373961838999998</v>
      </c>
    </row>
    <row r="10" spans="1:3" x14ac:dyDescent="0.3">
      <c r="A10" s="4" t="s">
        <v>23</v>
      </c>
      <c r="B10" s="9">
        <v>2.5782464421000002</v>
      </c>
    </row>
    <row r="11" spans="1:3" x14ac:dyDescent="0.3">
      <c r="A11" s="4" t="s">
        <v>24</v>
      </c>
      <c r="B11" s="9">
        <v>2.2121372374999999</v>
      </c>
    </row>
    <row r="12" spans="1:3" x14ac:dyDescent="0.3">
      <c r="A12" s="4" t="s">
        <v>25</v>
      </c>
      <c r="B12" s="9">
        <v>-1.2496257743000001</v>
      </c>
    </row>
  </sheetData>
  <mergeCells count="1">
    <mergeCell ref="A2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3" width="5" customWidth="1"/>
    <col min="4" max="8" width="15" customWidth="1"/>
    <col min="9" max="9" width="13" customWidth="1"/>
    <col min="10" max="10" width="16" customWidth="1"/>
  </cols>
  <sheetData>
    <row r="1" spans="1:10" ht="17.399999999999999" x14ac:dyDescent="0.35">
      <c r="A1" s="1" t="s">
        <v>26</v>
      </c>
    </row>
    <row r="2" spans="1:10" x14ac:dyDescent="0.3">
      <c r="A2" s="2" t="s">
        <v>27</v>
      </c>
    </row>
    <row r="4" spans="1:10" ht="30" customHeight="1" x14ac:dyDescent="0.3">
      <c r="A4" s="3" t="s">
        <v>17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</row>
    <row r="5" spans="1:10" x14ac:dyDescent="0.3">
      <c r="A5" s="4" t="s">
        <v>19</v>
      </c>
      <c r="B5" s="4" t="s">
        <v>37</v>
      </c>
      <c r="C5" s="4">
        <v>1</v>
      </c>
      <c r="D5" s="10">
        <v>10940748.810000001</v>
      </c>
      <c r="E5" s="10">
        <v>11254212.41</v>
      </c>
      <c r="F5" s="11" t="str">
        <f>IF(C5&lt;=fact_months,"",ROUND(D5*(1+Тренд!$B$6/100),2))</f>
        <v/>
      </c>
      <c r="G5" s="11">
        <f t="shared" ref="G5:G36" si="0">IF(C5&lt;=fact_months,E5,F5)</f>
        <v>11254212.41</v>
      </c>
      <c r="H5" s="11">
        <f t="shared" ref="H5:H36" si="1">G5-D5</f>
        <v>313463.59999999963</v>
      </c>
      <c r="I5" s="12">
        <f t="shared" ref="I5:I36" si="2">IF(D5=0,"",H5/D5)</f>
        <v>2.8651018814497362E-2</v>
      </c>
      <c r="J5" s="11">
        <f>H5</f>
        <v>313463.59999999963</v>
      </c>
    </row>
    <row r="6" spans="1:10" x14ac:dyDescent="0.3">
      <c r="A6" s="4" t="s">
        <v>19</v>
      </c>
      <c r="B6" s="4" t="s">
        <v>38</v>
      </c>
      <c r="C6" s="4">
        <v>2</v>
      </c>
      <c r="D6" s="10">
        <v>10909128.15</v>
      </c>
      <c r="E6" s="10">
        <v>11225642.48</v>
      </c>
      <c r="F6" s="11" t="str">
        <f>IF(C6&lt;=fact_months,"",ROUND(D6*(1+Тренд!$B$6/100),2))</f>
        <v/>
      </c>
      <c r="G6" s="11">
        <f t="shared" si="0"/>
        <v>11225642.48</v>
      </c>
      <c r="H6" s="11">
        <f t="shared" si="1"/>
        <v>316514.33000000007</v>
      </c>
      <c r="I6" s="12">
        <f t="shared" si="2"/>
        <v>2.9013714537765335E-2</v>
      </c>
      <c r="J6" s="11">
        <f t="shared" ref="J6:J16" si="3">J5+H6</f>
        <v>629977.9299999997</v>
      </c>
    </row>
    <row r="7" spans="1:10" x14ac:dyDescent="0.3">
      <c r="A7" s="4" t="s">
        <v>19</v>
      </c>
      <c r="B7" s="4" t="s">
        <v>39</v>
      </c>
      <c r="C7" s="4">
        <v>3</v>
      </c>
      <c r="D7" s="10">
        <v>10772105.279999999</v>
      </c>
      <c r="E7" s="10">
        <v>11090994.85</v>
      </c>
      <c r="F7" s="11" t="str">
        <f>IF(C7&lt;=fact_months,"",ROUND(D7*(1+Тренд!$B$6/100),2))</f>
        <v/>
      </c>
      <c r="G7" s="11">
        <f t="shared" si="0"/>
        <v>11090994.85</v>
      </c>
      <c r="H7" s="11">
        <f t="shared" si="1"/>
        <v>318889.5700000003</v>
      </c>
      <c r="I7" s="12">
        <f t="shared" si="2"/>
        <v>2.9603272685430004E-2</v>
      </c>
      <c r="J7" s="11">
        <f t="shared" si="3"/>
        <v>948867.5</v>
      </c>
    </row>
    <row r="8" spans="1:10" x14ac:dyDescent="0.3">
      <c r="A8" s="4" t="s">
        <v>19</v>
      </c>
      <c r="B8" s="4" t="s">
        <v>40</v>
      </c>
      <c r="C8" s="4">
        <v>4</v>
      </c>
      <c r="D8" s="10">
        <v>10592921.529999999</v>
      </c>
      <c r="E8" s="10">
        <v>10899319.15</v>
      </c>
      <c r="F8" s="11" t="str">
        <f>IF(C8&lt;=fact_months,"",ROUND(D8*(1+Тренд!$B$6/100),2))</f>
        <v/>
      </c>
      <c r="G8" s="11">
        <f t="shared" si="0"/>
        <v>10899319.15</v>
      </c>
      <c r="H8" s="11">
        <f t="shared" si="1"/>
        <v>306397.62000000104</v>
      </c>
      <c r="I8" s="12">
        <f t="shared" si="2"/>
        <v>2.892475122488716E-2</v>
      </c>
      <c r="J8" s="11">
        <f t="shared" si="3"/>
        <v>1255265.120000001</v>
      </c>
    </row>
    <row r="9" spans="1:10" x14ac:dyDescent="0.3">
      <c r="A9" s="4" t="s">
        <v>19</v>
      </c>
      <c r="B9" s="4" t="s">
        <v>41</v>
      </c>
      <c r="C9" s="4">
        <v>5</v>
      </c>
      <c r="D9" s="10">
        <v>10392657.34</v>
      </c>
      <c r="E9" s="10">
        <v>10711794.810000001</v>
      </c>
      <c r="F9" s="11" t="str">
        <f>IF(C9&lt;=fact_months,"",ROUND(D9*(1+Тренд!$B$6/100),2))</f>
        <v/>
      </c>
      <c r="G9" s="11">
        <f t="shared" si="0"/>
        <v>10711794.810000001</v>
      </c>
      <c r="H9" s="11">
        <f t="shared" si="1"/>
        <v>319137.47000000067</v>
      </c>
      <c r="I9" s="12">
        <f t="shared" si="2"/>
        <v>3.070797579091554E-2</v>
      </c>
      <c r="J9" s="11">
        <f t="shared" si="3"/>
        <v>1574402.5900000017</v>
      </c>
    </row>
    <row r="10" spans="1:10" x14ac:dyDescent="0.3">
      <c r="A10" s="4" t="s">
        <v>19</v>
      </c>
      <c r="B10" s="4" t="s">
        <v>42</v>
      </c>
      <c r="C10" s="4">
        <v>6</v>
      </c>
      <c r="D10" s="10">
        <v>10202933.380000001</v>
      </c>
      <c r="E10" s="10">
        <v>10508815.199999999</v>
      </c>
      <c r="F10" s="11" t="str">
        <f>IF(C10&lt;=fact_months,"",ROUND(D10*(1+Тренд!$B$6/100),2))</f>
        <v/>
      </c>
      <c r="G10" s="11">
        <f t="shared" si="0"/>
        <v>10508815.199999999</v>
      </c>
      <c r="H10" s="11">
        <f t="shared" si="1"/>
        <v>305881.81999999844</v>
      </c>
      <c r="I10" s="12">
        <f t="shared" si="2"/>
        <v>2.9979791948812902E-2</v>
      </c>
      <c r="J10" s="11">
        <f t="shared" si="3"/>
        <v>1880284.4100000001</v>
      </c>
    </row>
    <row r="11" spans="1:10" x14ac:dyDescent="0.3">
      <c r="A11" s="4" t="s">
        <v>19</v>
      </c>
      <c r="B11" s="4" t="s">
        <v>43</v>
      </c>
      <c r="C11" s="4">
        <v>7</v>
      </c>
      <c r="D11" s="10">
        <v>10139692.050000001</v>
      </c>
      <c r="E11" s="10">
        <v>10449515.74</v>
      </c>
      <c r="F11" s="11" t="str">
        <f>IF(C11&lt;=fact_months,"",ROUND(D11*(1+Тренд!$B$6/100),2))</f>
        <v/>
      </c>
      <c r="G11" s="11">
        <f t="shared" si="0"/>
        <v>10449515.74</v>
      </c>
      <c r="H11" s="11">
        <f t="shared" si="1"/>
        <v>309823.68999999948</v>
      </c>
      <c r="I11" s="12">
        <f t="shared" si="2"/>
        <v>3.0555532502587142E-2</v>
      </c>
      <c r="J11" s="11">
        <f t="shared" si="3"/>
        <v>2190108.0999999996</v>
      </c>
    </row>
    <row r="12" spans="1:10" x14ac:dyDescent="0.3">
      <c r="A12" s="4" t="s">
        <v>19</v>
      </c>
      <c r="B12" s="4" t="s">
        <v>44</v>
      </c>
      <c r="C12" s="4">
        <v>8</v>
      </c>
      <c r="D12" s="10">
        <v>10160772.49</v>
      </c>
      <c r="E12" s="10">
        <v>10471194.57</v>
      </c>
      <c r="F12" s="11" t="str">
        <f>IF(C12&lt;=fact_months,"",ROUND(D12*(1+Тренд!$B$6/100),2))</f>
        <v/>
      </c>
      <c r="G12" s="11">
        <f t="shared" si="0"/>
        <v>10471194.57</v>
      </c>
      <c r="H12" s="11">
        <f t="shared" si="1"/>
        <v>310422.08000000007</v>
      </c>
      <c r="I12" s="12">
        <f t="shared" si="2"/>
        <v>3.0551031460010585E-2</v>
      </c>
      <c r="J12" s="11">
        <f t="shared" si="3"/>
        <v>2500530.1799999997</v>
      </c>
    </row>
    <row r="13" spans="1:10" x14ac:dyDescent="0.3">
      <c r="A13" s="4" t="s">
        <v>19</v>
      </c>
      <c r="B13" s="4" t="s">
        <v>45</v>
      </c>
      <c r="C13" s="4">
        <v>9</v>
      </c>
      <c r="D13" s="10">
        <v>10382117.119999999</v>
      </c>
      <c r="E13" s="4"/>
      <c r="F13" s="11">
        <f>IF(C13&lt;=fact_months,"",ROUND(D13*(1+Тренд!$B$6/100),2))</f>
        <v>10690727.130000001</v>
      </c>
      <c r="G13" s="11">
        <f t="shared" si="0"/>
        <v>10690727.130000001</v>
      </c>
      <c r="H13" s="11">
        <f t="shared" si="1"/>
        <v>308610.01000000164</v>
      </c>
      <c r="I13" s="12">
        <f t="shared" si="2"/>
        <v>2.9725152050683247E-2</v>
      </c>
      <c r="J13" s="11">
        <f t="shared" si="3"/>
        <v>2809140.1900000013</v>
      </c>
    </row>
    <row r="14" spans="1:10" x14ac:dyDescent="0.3">
      <c r="A14" s="4" t="s">
        <v>19</v>
      </c>
      <c r="B14" s="4" t="s">
        <v>46</v>
      </c>
      <c r="C14" s="4">
        <v>10</v>
      </c>
      <c r="D14" s="10">
        <v>10603461.75</v>
      </c>
      <c r="E14" s="4"/>
      <c r="F14" s="11">
        <f>IF(C14&lt;=fact_months,"",ROUND(D14*(1+Тренд!$B$6/100),2))</f>
        <v>10918651.27</v>
      </c>
      <c r="G14" s="11">
        <f t="shared" si="0"/>
        <v>10918651.27</v>
      </c>
      <c r="H14" s="11">
        <f t="shared" si="1"/>
        <v>315189.51999999955</v>
      </c>
      <c r="I14" s="12">
        <f t="shared" si="2"/>
        <v>2.9725152731370916E-2</v>
      </c>
      <c r="J14" s="11">
        <f t="shared" si="3"/>
        <v>3124329.7100000009</v>
      </c>
    </row>
    <row r="15" spans="1:10" x14ac:dyDescent="0.3">
      <c r="A15" s="4" t="s">
        <v>19</v>
      </c>
      <c r="B15" s="4" t="s">
        <v>47</v>
      </c>
      <c r="C15" s="4">
        <v>11</v>
      </c>
      <c r="D15" s="10">
        <v>10687783.52</v>
      </c>
      <c r="E15" s="4"/>
      <c r="F15" s="11">
        <f>IF(C15&lt;=fact_months,"",ROUND(D15*(1+Тренд!$B$6/100),2))</f>
        <v>11005479.51</v>
      </c>
      <c r="G15" s="11">
        <f t="shared" si="0"/>
        <v>11005479.51</v>
      </c>
      <c r="H15" s="11">
        <f t="shared" si="1"/>
        <v>317695.99000000022</v>
      </c>
      <c r="I15" s="12">
        <f t="shared" si="2"/>
        <v>2.9725152030399681E-2</v>
      </c>
      <c r="J15" s="11">
        <f t="shared" si="3"/>
        <v>3442025.7000000011</v>
      </c>
    </row>
    <row r="16" spans="1:10" x14ac:dyDescent="0.3">
      <c r="A16" s="4" t="s">
        <v>19</v>
      </c>
      <c r="B16" s="4" t="s">
        <v>48</v>
      </c>
      <c r="C16" s="4">
        <v>12</v>
      </c>
      <c r="D16" s="10">
        <v>10698323.74</v>
      </c>
      <c r="E16" s="4"/>
      <c r="F16" s="11">
        <f>IF(C16&lt;=fact_months,"",ROUND(D16*(1+Тренд!$B$6/100),2))</f>
        <v>11016333.039999999</v>
      </c>
      <c r="G16" s="11">
        <f t="shared" si="0"/>
        <v>11016333.039999999</v>
      </c>
      <c r="H16" s="11">
        <f t="shared" si="1"/>
        <v>318009.29999999888</v>
      </c>
      <c r="I16" s="12">
        <f t="shared" si="2"/>
        <v>2.9725152063868922E-2</v>
      </c>
      <c r="J16" s="11">
        <f t="shared" si="3"/>
        <v>3760035</v>
      </c>
    </row>
    <row r="17" spans="1:10" x14ac:dyDescent="0.3">
      <c r="A17" s="4" t="s">
        <v>20</v>
      </c>
      <c r="B17" s="4" t="s">
        <v>37</v>
      </c>
      <c r="C17" s="4">
        <v>1</v>
      </c>
      <c r="D17" s="10">
        <v>7950800.0199999996</v>
      </c>
      <c r="E17" s="10">
        <v>8699641.75</v>
      </c>
      <c r="F17" s="11" t="str">
        <f>IF(C17&lt;=fact_months,"",ROUND(D17*(1+Тренд!$B$7/100),2))</f>
        <v/>
      </c>
      <c r="G17" s="11">
        <f t="shared" si="0"/>
        <v>8699641.75</v>
      </c>
      <c r="H17" s="11">
        <f t="shared" si="1"/>
        <v>748841.73000000045</v>
      </c>
      <c r="I17" s="12">
        <f t="shared" si="2"/>
        <v>9.4184450384403012E-2</v>
      </c>
      <c r="J17" s="11">
        <f>H17</f>
        <v>748841.73000000045</v>
      </c>
    </row>
    <row r="18" spans="1:10" x14ac:dyDescent="0.3">
      <c r="A18" s="4" t="s">
        <v>20</v>
      </c>
      <c r="B18" s="4" t="s">
        <v>38</v>
      </c>
      <c r="C18" s="4">
        <v>2</v>
      </c>
      <c r="D18" s="10">
        <v>7927820.8300000001</v>
      </c>
      <c r="E18" s="10">
        <v>8693908.3100000005</v>
      </c>
      <c r="F18" s="11" t="str">
        <f>IF(C18&lt;=fact_months,"",ROUND(D18*(1+Тренд!$B$7/100),2))</f>
        <v/>
      </c>
      <c r="G18" s="11">
        <f t="shared" si="0"/>
        <v>8693908.3100000005</v>
      </c>
      <c r="H18" s="11">
        <f t="shared" si="1"/>
        <v>766087.48000000045</v>
      </c>
      <c r="I18" s="12">
        <f t="shared" si="2"/>
        <v>9.6632794361474039E-2</v>
      </c>
      <c r="J18" s="11">
        <f t="shared" ref="J18:J28" si="4">J17+H18</f>
        <v>1514929.2100000009</v>
      </c>
    </row>
    <row r="19" spans="1:10" x14ac:dyDescent="0.3">
      <c r="A19" s="4" t="s">
        <v>20</v>
      </c>
      <c r="B19" s="4" t="s">
        <v>39</v>
      </c>
      <c r="C19" s="4">
        <v>3</v>
      </c>
      <c r="D19" s="10">
        <v>7828244.3399999999</v>
      </c>
      <c r="E19" s="10">
        <v>8569762.6899999995</v>
      </c>
      <c r="F19" s="11" t="str">
        <f>IF(C19&lt;=fact_months,"",ROUND(D19*(1+Тренд!$B$7/100),2))</f>
        <v/>
      </c>
      <c r="G19" s="11">
        <f t="shared" si="0"/>
        <v>8569762.6899999995</v>
      </c>
      <c r="H19" s="11">
        <f t="shared" si="1"/>
        <v>741518.34999999963</v>
      </c>
      <c r="I19" s="12">
        <f t="shared" si="2"/>
        <v>9.4723454940089366E-2</v>
      </c>
      <c r="J19" s="11">
        <f t="shared" si="4"/>
        <v>2256447.5600000005</v>
      </c>
    </row>
    <row r="20" spans="1:10" x14ac:dyDescent="0.3">
      <c r="A20" s="4" t="s">
        <v>20</v>
      </c>
      <c r="B20" s="4" t="s">
        <v>40</v>
      </c>
      <c r="C20" s="4">
        <v>4</v>
      </c>
      <c r="D20" s="10">
        <v>7698028.9199999999</v>
      </c>
      <c r="E20" s="10">
        <v>8431702</v>
      </c>
      <c r="F20" s="11" t="str">
        <f>IF(C20&lt;=fact_months,"",ROUND(D20*(1+Тренд!$B$7/100),2))</f>
        <v/>
      </c>
      <c r="G20" s="11">
        <f t="shared" si="0"/>
        <v>8431702</v>
      </c>
      <c r="H20" s="11">
        <f t="shared" si="1"/>
        <v>733673.08000000007</v>
      </c>
      <c r="I20" s="12">
        <f t="shared" si="2"/>
        <v>9.5306615190008936E-2</v>
      </c>
      <c r="J20" s="11">
        <f t="shared" si="4"/>
        <v>2990120.6400000006</v>
      </c>
    </row>
    <row r="21" spans="1:10" x14ac:dyDescent="0.3">
      <c r="A21" s="4" t="s">
        <v>20</v>
      </c>
      <c r="B21" s="4" t="s">
        <v>41</v>
      </c>
      <c r="C21" s="4">
        <v>5</v>
      </c>
      <c r="D21" s="10">
        <v>7552494.0499999998</v>
      </c>
      <c r="E21" s="10">
        <v>8278567.4900000002</v>
      </c>
      <c r="F21" s="11" t="str">
        <f>IF(C21&lt;=fact_months,"",ROUND(D21*(1+Тренд!$B$7/100),2))</f>
        <v/>
      </c>
      <c r="G21" s="11">
        <f t="shared" si="0"/>
        <v>8278567.4900000002</v>
      </c>
      <c r="H21" s="11">
        <f t="shared" si="1"/>
        <v>726073.44000000041</v>
      </c>
      <c r="I21" s="12">
        <f t="shared" si="2"/>
        <v>9.613690989932E-2</v>
      </c>
      <c r="J21" s="11">
        <f t="shared" si="4"/>
        <v>3716194.080000001</v>
      </c>
    </row>
    <row r="22" spans="1:10" x14ac:dyDescent="0.3">
      <c r="A22" s="4" t="s">
        <v>20</v>
      </c>
      <c r="B22" s="4" t="s">
        <v>42</v>
      </c>
      <c r="C22" s="4">
        <v>6</v>
      </c>
      <c r="D22" s="10">
        <v>7414618.9000000004</v>
      </c>
      <c r="E22" s="10">
        <v>8116761.8600000003</v>
      </c>
      <c r="F22" s="11" t="str">
        <f>IF(C22&lt;=fact_months,"",ROUND(D22*(1+Тренд!$B$7/100),2))</f>
        <v/>
      </c>
      <c r="G22" s="11">
        <f t="shared" si="0"/>
        <v>8116761.8600000003</v>
      </c>
      <c r="H22" s="11">
        <f t="shared" si="1"/>
        <v>702142.96</v>
      </c>
      <c r="I22" s="12">
        <f t="shared" si="2"/>
        <v>9.469710708934749E-2</v>
      </c>
      <c r="J22" s="11">
        <f t="shared" si="4"/>
        <v>4418337.040000001</v>
      </c>
    </row>
    <row r="23" spans="1:10" x14ac:dyDescent="0.3">
      <c r="A23" s="4" t="s">
        <v>20</v>
      </c>
      <c r="B23" s="4" t="s">
        <v>43</v>
      </c>
      <c r="C23" s="4">
        <v>7</v>
      </c>
      <c r="D23" s="10">
        <v>7368660.5199999996</v>
      </c>
      <c r="E23" s="10">
        <v>8072192.0599999996</v>
      </c>
      <c r="F23" s="11" t="str">
        <f>IF(C23&lt;=fact_months,"",ROUND(D23*(1+Тренд!$B$7/100),2))</f>
        <v/>
      </c>
      <c r="G23" s="11">
        <f t="shared" si="0"/>
        <v>8072192.0599999996</v>
      </c>
      <c r="H23" s="11">
        <f t="shared" si="1"/>
        <v>703531.54</v>
      </c>
      <c r="I23" s="12">
        <f t="shared" si="2"/>
        <v>9.5476177534638287E-2</v>
      </c>
      <c r="J23" s="11">
        <f t="shared" si="4"/>
        <v>5121868.580000001</v>
      </c>
    </row>
    <row r="24" spans="1:10" x14ac:dyDescent="0.3">
      <c r="A24" s="4" t="s">
        <v>20</v>
      </c>
      <c r="B24" s="4" t="s">
        <v>44</v>
      </c>
      <c r="C24" s="4">
        <v>8</v>
      </c>
      <c r="D24" s="10">
        <v>7383979.9800000004</v>
      </c>
      <c r="E24" s="10">
        <v>8092200.6399999997</v>
      </c>
      <c r="F24" s="11" t="str">
        <f>IF(C24&lt;=fact_months,"",ROUND(D24*(1+Тренд!$B$7/100),2))</f>
        <v/>
      </c>
      <c r="G24" s="11">
        <f t="shared" si="0"/>
        <v>8092200.6399999997</v>
      </c>
      <c r="H24" s="11">
        <f t="shared" si="1"/>
        <v>708220.65999999922</v>
      </c>
      <c r="I24" s="12">
        <f t="shared" si="2"/>
        <v>9.5913133827321015E-2</v>
      </c>
      <c r="J24" s="11">
        <f t="shared" si="4"/>
        <v>5830089.2400000002</v>
      </c>
    </row>
    <row r="25" spans="1:10" x14ac:dyDescent="0.3">
      <c r="A25" s="4" t="s">
        <v>20</v>
      </c>
      <c r="B25" s="4" t="s">
        <v>45</v>
      </c>
      <c r="C25" s="4">
        <v>9</v>
      </c>
      <c r="D25" s="10">
        <v>7544834.3200000003</v>
      </c>
      <c r="E25" s="4"/>
      <c r="F25" s="11">
        <f>IF(C25&lt;=fact_months,"",ROUND(D25*(1+Тренд!$B$7/100),2))</f>
        <v>8266005.8799999999</v>
      </c>
      <c r="G25" s="11">
        <f t="shared" si="0"/>
        <v>8266005.8799999999</v>
      </c>
      <c r="H25" s="11">
        <f t="shared" si="1"/>
        <v>721171.55999999959</v>
      </c>
      <c r="I25" s="12">
        <f t="shared" si="2"/>
        <v>9.5584810668181724E-2</v>
      </c>
      <c r="J25" s="11">
        <f t="shared" si="4"/>
        <v>6551260.7999999998</v>
      </c>
    </row>
    <row r="26" spans="1:10" x14ac:dyDescent="0.3">
      <c r="A26" s="4" t="s">
        <v>20</v>
      </c>
      <c r="B26" s="4" t="s">
        <v>46</v>
      </c>
      <c r="C26" s="4">
        <v>10</v>
      </c>
      <c r="D26" s="10">
        <v>7705688.6500000004</v>
      </c>
      <c r="E26" s="4"/>
      <c r="F26" s="11">
        <f>IF(C26&lt;=fact_months,"",ROUND(D26*(1+Тренд!$B$7/100),2))</f>
        <v>8442235.4399999995</v>
      </c>
      <c r="G26" s="11">
        <f t="shared" si="0"/>
        <v>8442235.4399999995</v>
      </c>
      <c r="H26" s="11">
        <f t="shared" si="1"/>
        <v>736546.78999999911</v>
      </c>
      <c r="I26" s="12">
        <f t="shared" si="2"/>
        <v>9.5584810580167823E-2</v>
      </c>
      <c r="J26" s="11">
        <f t="shared" si="4"/>
        <v>7287807.5899999989</v>
      </c>
    </row>
    <row r="27" spans="1:10" x14ac:dyDescent="0.3">
      <c r="A27" s="4" t="s">
        <v>20</v>
      </c>
      <c r="B27" s="4" t="s">
        <v>47</v>
      </c>
      <c r="C27" s="4">
        <v>11</v>
      </c>
      <c r="D27" s="10">
        <v>7766966.4900000002</v>
      </c>
      <c r="E27" s="4"/>
      <c r="F27" s="11">
        <f>IF(C27&lt;=fact_months,"",ROUND(D27*(1+Тренд!$B$7/100),2))</f>
        <v>8509370.5099999998</v>
      </c>
      <c r="G27" s="11">
        <f t="shared" si="0"/>
        <v>8509370.5099999998</v>
      </c>
      <c r="H27" s="11">
        <f t="shared" si="1"/>
        <v>742404.01999999955</v>
      </c>
      <c r="I27" s="12">
        <f t="shared" si="2"/>
        <v>9.5584810486288002E-2</v>
      </c>
      <c r="J27" s="11">
        <f t="shared" si="4"/>
        <v>8030211.6099999985</v>
      </c>
    </row>
    <row r="28" spans="1:10" x14ac:dyDescent="0.3">
      <c r="A28" s="4" t="s">
        <v>20</v>
      </c>
      <c r="B28" s="4" t="s">
        <v>48</v>
      </c>
      <c r="C28" s="4">
        <v>12</v>
      </c>
      <c r="D28" s="10">
        <v>7774626.2199999997</v>
      </c>
      <c r="E28" s="4"/>
      <c r="F28" s="11">
        <f>IF(C28&lt;=fact_months,"",ROUND(D28*(1+Тренд!$B$7/100),2))</f>
        <v>8517762.4000000004</v>
      </c>
      <c r="G28" s="11">
        <f t="shared" si="0"/>
        <v>8517762.4000000004</v>
      </c>
      <c r="H28" s="11">
        <f t="shared" si="1"/>
        <v>743136.18000000063</v>
      </c>
      <c r="I28" s="12">
        <f t="shared" si="2"/>
        <v>9.5584811278554394E-2</v>
      </c>
      <c r="J28" s="11">
        <f t="shared" si="4"/>
        <v>8773347.7899999991</v>
      </c>
    </row>
    <row r="29" spans="1:10" x14ac:dyDescent="0.3">
      <c r="A29" s="4" t="s">
        <v>21</v>
      </c>
      <c r="B29" s="4" t="s">
        <v>37</v>
      </c>
      <c r="C29" s="4">
        <v>1</v>
      </c>
      <c r="D29" s="10">
        <v>7018598.6100000003</v>
      </c>
      <c r="E29" s="10">
        <v>7218075.3799999999</v>
      </c>
      <c r="F29" s="11" t="str">
        <f>IF(C29&lt;=fact_months,"",ROUND(D29*(1+Тренд!$B$8/100),2))</f>
        <v/>
      </c>
      <c r="G29" s="11">
        <f t="shared" si="0"/>
        <v>7218075.3799999999</v>
      </c>
      <c r="H29" s="11">
        <f t="shared" si="1"/>
        <v>199476.76999999955</v>
      </c>
      <c r="I29" s="12">
        <f t="shared" si="2"/>
        <v>2.8421167968743485E-2</v>
      </c>
      <c r="J29" s="11">
        <f>H29</f>
        <v>199476.76999999955</v>
      </c>
    </row>
    <row r="30" spans="1:10" x14ac:dyDescent="0.3">
      <c r="A30" s="4" t="s">
        <v>21</v>
      </c>
      <c r="B30" s="4" t="s">
        <v>38</v>
      </c>
      <c r="C30" s="4">
        <v>2</v>
      </c>
      <c r="D30" s="10">
        <v>6998313.6399999997</v>
      </c>
      <c r="E30" s="10">
        <v>7197932.6699999999</v>
      </c>
      <c r="F30" s="11" t="str">
        <f>IF(C30&lt;=fact_months,"",ROUND(D30*(1+Тренд!$B$8/100),2))</f>
        <v/>
      </c>
      <c r="G30" s="11">
        <f t="shared" si="0"/>
        <v>7197932.6699999999</v>
      </c>
      <c r="H30" s="11">
        <f t="shared" si="1"/>
        <v>199619.03000000026</v>
      </c>
      <c r="I30" s="12">
        <f t="shared" si="2"/>
        <v>2.8523875931916687E-2</v>
      </c>
      <c r="J30" s="11">
        <f t="shared" ref="J30:J40" si="5">J29+H30</f>
        <v>399095.79999999981</v>
      </c>
    </row>
    <row r="31" spans="1:10" x14ac:dyDescent="0.3">
      <c r="A31" s="4" t="s">
        <v>21</v>
      </c>
      <c r="B31" s="4" t="s">
        <v>39</v>
      </c>
      <c r="C31" s="4">
        <v>3</v>
      </c>
      <c r="D31" s="10">
        <v>6910412.1200000001</v>
      </c>
      <c r="E31" s="10">
        <v>7105429.1799999997</v>
      </c>
      <c r="F31" s="11" t="str">
        <f>IF(C31&lt;=fact_months,"",ROUND(D31*(1+Тренд!$B$8/100),2))</f>
        <v/>
      </c>
      <c r="G31" s="11">
        <f t="shared" si="0"/>
        <v>7105429.1799999997</v>
      </c>
      <c r="H31" s="11">
        <f t="shared" si="1"/>
        <v>195017.05999999959</v>
      </c>
      <c r="I31" s="12">
        <f t="shared" si="2"/>
        <v>2.8220756825137021E-2</v>
      </c>
      <c r="J31" s="11">
        <f t="shared" si="5"/>
        <v>594112.8599999994</v>
      </c>
    </row>
    <row r="32" spans="1:10" x14ac:dyDescent="0.3">
      <c r="A32" s="4" t="s">
        <v>21</v>
      </c>
      <c r="B32" s="4" t="s">
        <v>40</v>
      </c>
      <c r="C32" s="4">
        <v>4</v>
      </c>
      <c r="D32" s="10">
        <v>6795463.9699999997</v>
      </c>
      <c r="E32" s="10">
        <v>6984312.1500000004</v>
      </c>
      <c r="F32" s="11" t="str">
        <f>IF(C32&lt;=fact_months,"",ROUND(D32*(1+Тренд!$B$8/100),2))</f>
        <v/>
      </c>
      <c r="G32" s="11">
        <f t="shared" si="0"/>
        <v>6984312.1500000004</v>
      </c>
      <c r="H32" s="11">
        <f t="shared" si="1"/>
        <v>188848.18000000063</v>
      </c>
      <c r="I32" s="12">
        <f t="shared" si="2"/>
        <v>2.7790329083298877E-2</v>
      </c>
      <c r="J32" s="11">
        <f t="shared" si="5"/>
        <v>782961.04</v>
      </c>
    </row>
    <row r="33" spans="1:10" x14ac:dyDescent="0.3">
      <c r="A33" s="4" t="s">
        <v>21</v>
      </c>
      <c r="B33" s="4" t="s">
        <v>41</v>
      </c>
      <c r="C33" s="4">
        <v>5</v>
      </c>
      <c r="D33" s="10">
        <v>6666992.5099999998</v>
      </c>
      <c r="E33" s="10">
        <v>6842561.3300000001</v>
      </c>
      <c r="F33" s="11" t="str">
        <f>IF(C33&lt;=fact_months,"",ROUND(D33*(1+Тренд!$B$8/100),2))</f>
        <v/>
      </c>
      <c r="G33" s="11">
        <f t="shared" si="0"/>
        <v>6842561.3300000001</v>
      </c>
      <c r="H33" s="11">
        <f t="shared" si="1"/>
        <v>175568.8200000003</v>
      </c>
      <c r="I33" s="12">
        <f t="shared" si="2"/>
        <v>2.6334035884495136E-2</v>
      </c>
      <c r="J33" s="11">
        <f t="shared" si="5"/>
        <v>958529.86000000034</v>
      </c>
    </row>
    <row r="34" spans="1:10" x14ac:dyDescent="0.3">
      <c r="A34" s="4" t="s">
        <v>21</v>
      </c>
      <c r="B34" s="4" t="s">
        <v>42</v>
      </c>
      <c r="C34" s="4">
        <v>6</v>
      </c>
      <c r="D34" s="10">
        <v>6545282.71</v>
      </c>
      <c r="E34" s="10">
        <v>6714907.1500000004</v>
      </c>
      <c r="F34" s="11" t="str">
        <f>IF(C34&lt;=fact_months,"",ROUND(D34*(1+Тренд!$B$8/100),2))</f>
        <v/>
      </c>
      <c r="G34" s="11">
        <f t="shared" si="0"/>
        <v>6714907.1500000004</v>
      </c>
      <c r="H34" s="11">
        <f t="shared" si="1"/>
        <v>169624.44000000041</v>
      </c>
      <c r="I34" s="12">
        <f t="shared" si="2"/>
        <v>2.5915525350928715E-2</v>
      </c>
      <c r="J34" s="11">
        <f t="shared" si="5"/>
        <v>1128154.3000000007</v>
      </c>
    </row>
    <row r="35" spans="1:10" x14ac:dyDescent="0.3">
      <c r="A35" s="4" t="s">
        <v>21</v>
      </c>
      <c r="B35" s="4" t="s">
        <v>43</v>
      </c>
      <c r="C35" s="4">
        <v>7</v>
      </c>
      <c r="D35" s="10">
        <v>6504712.7800000003</v>
      </c>
      <c r="E35" s="10">
        <v>6690280.9400000004</v>
      </c>
      <c r="F35" s="11" t="str">
        <f>IF(C35&lt;=fact_months,"",ROUND(D35*(1+Тренд!$B$8/100),2))</f>
        <v/>
      </c>
      <c r="G35" s="11">
        <f t="shared" si="0"/>
        <v>6690280.9400000004</v>
      </c>
      <c r="H35" s="11">
        <f t="shared" si="1"/>
        <v>185568.16000000015</v>
      </c>
      <c r="I35" s="12">
        <f t="shared" si="2"/>
        <v>2.8528263472380428E-2</v>
      </c>
      <c r="J35" s="11">
        <f t="shared" si="5"/>
        <v>1313722.4600000009</v>
      </c>
    </row>
    <row r="36" spans="1:10" x14ac:dyDescent="0.3">
      <c r="A36" s="4" t="s">
        <v>21</v>
      </c>
      <c r="B36" s="4" t="s">
        <v>44</v>
      </c>
      <c r="C36" s="4">
        <v>8</v>
      </c>
      <c r="D36" s="10">
        <v>6518236.0899999999</v>
      </c>
      <c r="E36" s="10">
        <v>6692832.04</v>
      </c>
      <c r="F36" s="11" t="str">
        <f>IF(C36&lt;=fact_months,"",ROUND(D36*(1+Тренд!$B$8/100),2))</f>
        <v/>
      </c>
      <c r="G36" s="11">
        <f t="shared" si="0"/>
        <v>6692832.04</v>
      </c>
      <c r="H36" s="11">
        <f t="shared" si="1"/>
        <v>174595.95000000019</v>
      </c>
      <c r="I36" s="12">
        <f t="shared" si="2"/>
        <v>2.6785766515554393E-2</v>
      </c>
      <c r="J36" s="11">
        <f t="shared" si="5"/>
        <v>1488318.4100000011</v>
      </c>
    </row>
    <row r="37" spans="1:10" x14ac:dyDescent="0.3">
      <c r="A37" s="4" t="s">
        <v>21</v>
      </c>
      <c r="B37" s="4" t="s">
        <v>45</v>
      </c>
      <c r="C37" s="4">
        <v>9</v>
      </c>
      <c r="D37" s="10">
        <v>6660230.8600000003</v>
      </c>
      <c r="E37" s="4"/>
      <c r="F37" s="11">
        <f>IF(C37&lt;=fact_months,"",ROUND(D37*(1+Тренд!$B$8/100),2))</f>
        <v>6841693.0099999998</v>
      </c>
      <c r="G37" s="11">
        <f t="shared" ref="G37:G68" si="6">IF(C37&lt;=fact_months,E37,F37)</f>
        <v>6841693.0099999998</v>
      </c>
      <c r="H37" s="11">
        <f t="shared" ref="H37:H68" si="7">G37-D37</f>
        <v>181462.14999999944</v>
      </c>
      <c r="I37" s="12">
        <f t="shared" ref="I37:I68" si="8">IF(D37=0,"",H37/D37)</f>
        <v>2.7245624635900297E-2</v>
      </c>
      <c r="J37" s="11">
        <f t="shared" si="5"/>
        <v>1669780.5600000005</v>
      </c>
    </row>
    <row r="38" spans="1:10" x14ac:dyDescent="0.3">
      <c r="A38" s="4" t="s">
        <v>21</v>
      </c>
      <c r="B38" s="4" t="s">
        <v>46</v>
      </c>
      <c r="C38" s="4">
        <v>10</v>
      </c>
      <c r="D38" s="10">
        <v>6802225.6299999999</v>
      </c>
      <c r="E38" s="4"/>
      <c r="F38" s="11">
        <f>IF(C38&lt;=fact_months,"",ROUND(D38*(1+Тренд!$B$8/100),2))</f>
        <v>6987556.5099999998</v>
      </c>
      <c r="G38" s="11">
        <f t="shared" si="6"/>
        <v>6987556.5099999998</v>
      </c>
      <c r="H38" s="11">
        <f t="shared" si="7"/>
        <v>185330.87999999989</v>
      </c>
      <c r="I38" s="12">
        <f t="shared" si="8"/>
        <v>2.7245623723892835E-2</v>
      </c>
      <c r="J38" s="11">
        <f t="shared" si="5"/>
        <v>1855111.4400000004</v>
      </c>
    </row>
    <row r="39" spans="1:10" x14ac:dyDescent="0.3">
      <c r="A39" s="4" t="s">
        <v>21</v>
      </c>
      <c r="B39" s="4" t="s">
        <v>47</v>
      </c>
      <c r="C39" s="4">
        <v>11</v>
      </c>
      <c r="D39" s="10">
        <v>6856318.8700000001</v>
      </c>
      <c r="E39" s="4"/>
      <c r="F39" s="11">
        <f>IF(C39&lt;=fact_months,"",ROUND(D39*(1+Тренд!$B$8/100),2))</f>
        <v>7043123.5599999996</v>
      </c>
      <c r="G39" s="11">
        <f t="shared" si="6"/>
        <v>7043123.5599999996</v>
      </c>
      <c r="H39" s="11">
        <f t="shared" si="7"/>
        <v>186804.68999999948</v>
      </c>
      <c r="I39" s="12">
        <f t="shared" si="8"/>
        <v>2.7245624589802585E-2</v>
      </c>
      <c r="J39" s="11">
        <f t="shared" si="5"/>
        <v>2041916.13</v>
      </c>
    </row>
    <row r="40" spans="1:10" x14ac:dyDescent="0.3">
      <c r="A40" s="4" t="s">
        <v>21</v>
      </c>
      <c r="B40" s="4" t="s">
        <v>48</v>
      </c>
      <c r="C40" s="4">
        <v>12</v>
      </c>
      <c r="D40" s="10">
        <v>6863080.5300000003</v>
      </c>
      <c r="E40" s="4"/>
      <c r="F40" s="11">
        <f>IF(C40&lt;=fact_months,"",ROUND(D40*(1+Тренд!$B$8/100),2))</f>
        <v>7050069.4400000004</v>
      </c>
      <c r="G40" s="11">
        <f t="shared" si="6"/>
        <v>7050069.4400000004</v>
      </c>
      <c r="H40" s="11">
        <f t="shared" si="7"/>
        <v>186988.91000000015</v>
      </c>
      <c r="I40" s="12">
        <f t="shared" si="8"/>
        <v>2.724562376656247E-2</v>
      </c>
      <c r="J40" s="11">
        <f t="shared" si="5"/>
        <v>2228905.04</v>
      </c>
    </row>
    <row r="41" spans="1:10" x14ac:dyDescent="0.3">
      <c r="A41" s="4" t="s">
        <v>22</v>
      </c>
      <c r="B41" s="4" t="s">
        <v>37</v>
      </c>
      <c r="C41" s="4">
        <v>1</v>
      </c>
      <c r="D41" s="10">
        <v>6664509.21</v>
      </c>
      <c r="E41" s="10">
        <v>6853388.1100000003</v>
      </c>
      <c r="F41" s="11" t="str">
        <f>IF(C41&lt;=fact_months,"",ROUND(D41*(1+Тренд!$B$9/100),2))</f>
        <v/>
      </c>
      <c r="G41" s="11">
        <f t="shared" si="6"/>
        <v>6853388.1100000003</v>
      </c>
      <c r="H41" s="11">
        <f t="shared" si="7"/>
        <v>188878.90000000037</v>
      </c>
      <c r="I41" s="12">
        <f t="shared" si="8"/>
        <v>2.8341006674068407E-2</v>
      </c>
      <c r="J41" s="11">
        <f>H41</f>
        <v>188878.90000000037</v>
      </c>
    </row>
    <row r="42" spans="1:10" x14ac:dyDescent="0.3">
      <c r="A42" s="4" t="s">
        <v>22</v>
      </c>
      <c r="B42" s="4" t="s">
        <v>38</v>
      </c>
      <c r="C42" s="4">
        <v>2</v>
      </c>
      <c r="D42" s="10">
        <v>6645247.6200000001</v>
      </c>
      <c r="E42" s="10">
        <v>6833298.1900000004</v>
      </c>
      <c r="F42" s="11" t="str">
        <f>IF(C42&lt;=fact_months,"",ROUND(D42*(1+Тренд!$B$9/100),2))</f>
        <v/>
      </c>
      <c r="G42" s="11">
        <f t="shared" si="6"/>
        <v>6833298.1900000004</v>
      </c>
      <c r="H42" s="11">
        <f t="shared" si="7"/>
        <v>188050.5700000003</v>
      </c>
      <c r="I42" s="12">
        <f t="shared" si="8"/>
        <v>2.8298504548427993E-2</v>
      </c>
      <c r="J42" s="11">
        <f t="shared" ref="J42:J52" si="9">J41+H42</f>
        <v>376929.47000000067</v>
      </c>
    </row>
    <row r="43" spans="1:10" x14ac:dyDescent="0.3">
      <c r="A43" s="4" t="s">
        <v>22</v>
      </c>
      <c r="B43" s="4" t="s">
        <v>39</v>
      </c>
      <c r="C43" s="4">
        <v>3</v>
      </c>
      <c r="D43" s="10">
        <v>6561780.75</v>
      </c>
      <c r="E43" s="10">
        <v>6759199.9000000004</v>
      </c>
      <c r="F43" s="11" t="str">
        <f>IF(C43&lt;=fact_months,"",ROUND(D43*(1+Тренд!$B$9/100),2))</f>
        <v/>
      </c>
      <c r="G43" s="11">
        <f t="shared" si="6"/>
        <v>6759199.9000000004</v>
      </c>
      <c r="H43" s="11">
        <f t="shared" si="7"/>
        <v>197419.15000000037</v>
      </c>
      <c r="I43" s="12">
        <f t="shared" si="8"/>
        <v>3.0086215544461826E-2</v>
      </c>
      <c r="J43" s="11">
        <f t="shared" si="9"/>
        <v>574348.62000000104</v>
      </c>
    </row>
    <row r="44" spans="1:10" x14ac:dyDescent="0.3">
      <c r="A44" s="4" t="s">
        <v>22</v>
      </c>
      <c r="B44" s="4" t="s">
        <v>40</v>
      </c>
      <c r="C44" s="4">
        <v>4</v>
      </c>
      <c r="D44" s="10">
        <v>6452631.75</v>
      </c>
      <c r="E44" s="10">
        <v>6646257.6200000001</v>
      </c>
      <c r="F44" s="11" t="str">
        <f>IF(C44&lt;=fact_months,"",ROUND(D44*(1+Тренд!$B$9/100),2))</f>
        <v/>
      </c>
      <c r="G44" s="11">
        <f t="shared" si="6"/>
        <v>6646257.6200000001</v>
      </c>
      <c r="H44" s="11">
        <f t="shared" si="7"/>
        <v>193625.87000000011</v>
      </c>
      <c r="I44" s="12">
        <f t="shared" si="8"/>
        <v>3.0007271064244462E-2</v>
      </c>
      <c r="J44" s="11">
        <f t="shared" si="9"/>
        <v>767974.49000000115</v>
      </c>
    </row>
    <row r="45" spans="1:10" x14ac:dyDescent="0.3">
      <c r="A45" s="4" t="s">
        <v>22</v>
      </c>
      <c r="B45" s="4" t="s">
        <v>41</v>
      </c>
      <c r="C45" s="4">
        <v>5</v>
      </c>
      <c r="D45" s="10">
        <v>6330641.7000000002</v>
      </c>
      <c r="E45" s="10">
        <v>6522453.3499999996</v>
      </c>
      <c r="F45" s="11" t="str">
        <f>IF(C45&lt;=fact_months,"",ROUND(D45*(1+Тренд!$B$9/100),2))</f>
        <v/>
      </c>
      <c r="G45" s="11">
        <f t="shared" si="6"/>
        <v>6522453.3499999996</v>
      </c>
      <c r="H45" s="11">
        <f t="shared" si="7"/>
        <v>191811.64999999944</v>
      </c>
      <c r="I45" s="12">
        <f t="shared" si="8"/>
        <v>3.0298926884457768E-2</v>
      </c>
      <c r="J45" s="11">
        <f t="shared" si="9"/>
        <v>959786.1400000006</v>
      </c>
    </row>
    <row r="46" spans="1:10" x14ac:dyDescent="0.3">
      <c r="A46" s="4" t="s">
        <v>22</v>
      </c>
      <c r="B46" s="4" t="s">
        <v>42</v>
      </c>
      <c r="C46" s="4">
        <v>6</v>
      </c>
      <c r="D46" s="10">
        <v>6215072.1699999999</v>
      </c>
      <c r="E46" s="10">
        <v>6397502.9000000004</v>
      </c>
      <c r="F46" s="11" t="str">
        <f>IF(C46&lt;=fact_months,"",ROUND(D46*(1+Тренд!$B$9/100),2))</f>
        <v/>
      </c>
      <c r="G46" s="11">
        <f t="shared" si="6"/>
        <v>6397502.9000000004</v>
      </c>
      <c r="H46" s="11">
        <f t="shared" si="7"/>
        <v>182430.73000000045</v>
      </c>
      <c r="I46" s="12">
        <f t="shared" si="8"/>
        <v>2.9352954400206178E-2</v>
      </c>
      <c r="J46" s="11">
        <f t="shared" si="9"/>
        <v>1142216.870000001</v>
      </c>
    </row>
    <row r="47" spans="1:10" x14ac:dyDescent="0.3">
      <c r="A47" s="4" t="s">
        <v>22</v>
      </c>
      <c r="B47" s="4" t="s">
        <v>43</v>
      </c>
      <c r="C47" s="4">
        <v>7</v>
      </c>
      <c r="D47" s="10">
        <v>6176549</v>
      </c>
      <c r="E47" s="10">
        <v>6353099.3700000001</v>
      </c>
      <c r="F47" s="11" t="str">
        <f>IF(C47&lt;=fact_months,"",ROUND(D47*(1+Тренд!$B$9/100),2))</f>
        <v/>
      </c>
      <c r="G47" s="11">
        <f t="shared" si="6"/>
        <v>6353099.3700000001</v>
      </c>
      <c r="H47" s="11">
        <f t="shared" si="7"/>
        <v>176550.37000000011</v>
      </c>
      <c r="I47" s="12">
        <f t="shared" si="8"/>
        <v>2.8583982738581062E-2</v>
      </c>
      <c r="J47" s="11">
        <f t="shared" si="9"/>
        <v>1318767.2400000012</v>
      </c>
    </row>
    <row r="48" spans="1:10" x14ac:dyDescent="0.3">
      <c r="A48" s="4" t="s">
        <v>22</v>
      </c>
      <c r="B48" s="4" t="s">
        <v>44</v>
      </c>
      <c r="C48" s="4">
        <v>8</v>
      </c>
      <c r="D48" s="10">
        <v>6189390.0599999996</v>
      </c>
      <c r="E48" s="10">
        <v>6369074.9400000004</v>
      </c>
      <c r="F48" s="11" t="str">
        <f>IF(C48&lt;=fact_months,"",ROUND(D48*(1+Тренд!$B$9/100),2))</f>
        <v/>
      </c>
      <c r="G48" s="11">
        <f t="shared" si="6"/>
        <v>6369074.9400000004</v>
      </c>
      <c r="H48" s="11">
        <f t="shared" si="7"/>
        <v>179684.88000000082</v>
      </c>
      <c r="I48" s="12">
        <f t="shared" si="8"/>
        <v>2.9031112639231665E-2</v>
      </c>
      <c r="J48" s="11">
        <f t="shared" si="9"/>
        <v>1498452.120000002</v>
      </c>
    </row>
    <row r="49" spans="1:10" x14ac:dyDescent="0.3">
      <c r="A49" s="4" t="s">
        <v>22</v>
      </c>
      <c r="B49" s="4" t="s">
        <v>45</v>
      </c>
      <c r="C49" s="4">
        <v>9</v>
      </c>
      <c r="D49" s="10">
        <v>6324221.1699999999</v>
      </c>
      <c r="E49" s="4"/>
      <c r="F49" s="11">
        <f>IF(C49&lt;=fact_months,"",ROUND(D49*(1+Тренд!$B$9/100),2))</f>
        <v>6509988.5999999996</v>
      </c>
      <c r="G49" s="11">
        <f t="shared" si="6"/>
        <v>6509988.5999999996</v>
      </c>
      <c r="H49" s="11">
        <f t="shared" si="7"/>
        <v>185767.4299999997</v>
      </c>
      <c r="I49" s="12">
        <f t="shared" si="8"/>
        <v>2.9373961632021751E-2</v>
      </c>
      <c r="J49" s="11">
        <f t="shared" si="9"/>
        <v>1684219.5500000017</v>
      </c>
    </row>
    <row r="50" spans="1:10" x14ac:dyDescent="0.3">
      <c r="A50" s="4" t="s">
        <v>22</v>
      </c>
      <c r="B50" s="4" t="s">
        <v>46</v>
      </c>
      <c r="C50" s="4">
        <v>10</v>
      </c>
      <c r="D50" s="10">
        <v>6459052.2800000003</v>
      </c>
      <c r="E50" s="4"/>
      <c r="F50" s="11">
        <f>IF(C50&lt;=fact_months,"",ROUND(D50*(1+Тренд!$B$9/100),2))</f>
        <v>6648780.2400000002</v>
      </c>
      <c r="G50" s="11">
        <f t="shared" si="6"/>
        <v>6648780.2400000002</v>
      </c>
      <c r="H50" s="11">
        <f t="shared" si="7"/>
        <v>189727.95999999996</v>
      </c>
      <c r="I50" s="12">
        <f t="shared" si="8"/>
        <v>2.9373962583873058E-2</v>
      </c>
      <c r="J50" s="11">
        <f t="shared" si="9"/>
        <v>1873947.5100000016</v>
      </c>
    </row>
    <row r="51" spans="1:10" x14ac:dyDescent="0.3">
      <c r="A51" s="4" t="s">
        <v>22</v>
      </c>
      <c r="B51" s="4" t="s">
        <v>47</v>
      </c>
      <c r="C51" s="4">
        <v>11</v>
      </c>
      <c r="D51" s="10">
        <v>6510416.5099999998</v>
      </c>
      <c r="E51" s="4"/>
      <c r="F51" s="11">
        <f>IF(C51&lt;=fact_months,"",ROUND(D51*(1+Тренд!$B$9/100),2))</f>
        <v>6701653.2400000002</v>
      </c>
      <c r="G51" s="11">
        <f t="shared" si="6"/>
        <v>6701653.2400000002</v>
      </c>
      <c r="H51" s="11">
        <f t="shared" si="7"/>
        <v>191236.73000000045</v>
      </c>
      <c r="I51" s="12">
        <f t="shared" si="8"/>
        <v>2.9373962434855103E-2</v>
      </c>
      <c r="J51" s="11">
        <f t="shared" si="9"/>
        <v>2065184.2400000021</v>
      </c>
    </row>
    <row r="52" spans="1:10" x14ac:dyDescent="0.3">
      <c r="A52" s="4" t="s">
        <v>22</v>
      </c>
      <c r="B52" s="4" t="s">
        <v>48</v>
      </c>
      <c r="C52" s="4">
        <v>12</v>
      </c>
      <c r="D52" s="10">
        <v>6516837.04</v>
      </c>
      <c r="E52" s="4"/>
      <c r="F52" s="11">
        <f>IF(C52&lt;=fact_months,"",ROUND(D52*(1+Тренд!$B$9/100),2))</f>
        <v>6708262.3600000003</v>
      </c>
      <c r="G52" s="11">
        <f t="shared" si="6"/>
        <v>6708262.3600000003</v>
      </c>
      <c r="H52" s="11">
        <f t="shared" si="7"/>
        <v>191425.3200000003</v>
      </c>
      <c r="I52" s="12">
        <f t="shared" si="8"/>
        <v>2.9373961451704535E-2</v>
      </c>
      <c r="J52" s="11">
        <f t="shared" si="9"/>
        <v>2256609.5600000024</v>
      </c>
    </row>
    <row r="53" spans="1:10" x14ac:dyDescent="0.3">
      <c r="A53" s="4" t="s">
        <v>23</v>
      </c>
      <c r="B53" s="4" t="s">
        <v>37</v>
      </c>
      <c r="C53" s="4">
        <v>1</v>
      </c>
      <c r="D53" s="10">
        <v>6366437.1799999997</v>
      </c>
      <c r="E53" s="10">
        <v>6529005.4500000002</v>
      </c>
      <c r="F53" s="11" t="str">
        <f>IF(C53&lt;=fact_months,"",ROUND(D53*(1+Тренд!$B$10/100),2))</f>
        <v/>
      </c>
      <c r="G53" s="11">
        <f t="shared" si="6"/>
        <v>6529005.4500000002</v>
      </c>
      <c r="H53" s="11">
        <f t="shared" si="7"/>
        <v>162568.27000000048</v>
      </c>
      <c r="I53" s="12">
        <f t="shared" si="8"/>
        <v>2.5535203663157875E-2</v>
      </c>
      <c r="J53" s="11">
        <f>H53</f>
        <v>162568.27000000048</v>
      </c>
    </row>
    <row r="54" spans="1:10" x14ac:dyDescent="0.3">
      <c r="A54" s="4" t="s">
        <v>23</v>
      </c>
      <c r="B54" s="4" t="s">
        <v>38</v>
      </c>
      <c r="C54" s="4">
        <v>2</v>
      </c>
      <c r="D54" s="10">
        <v>6348037.0700000003</v>
      </c>
      <c r="E54" s="10">
        <v>6515320.1799999997</v>
      </c>
      <c r="F54" s="11" t="str">
        <f>IF(C54&lt;=fact_months,"",ROUND(D54*(1+Тренд!$B$10/100),2))</f>
        <v/>
      </c>
      <c r="G54" s="11">
        <f t="shared" si="6"/>
        <v>6515320.1799999997</v>
      </c>
      <c r="H54" s="11">
        <f t="shared" si="7"/>
        <v>167283.1099999994</v>
      </c>
      <c r="I54" s="12">
        <f t="shared" si="8"/>
        <v>2.6351942837662005E-2</v>
      </c>
      <c r="J54" s="11">
        <f t="shared" ref="J54:J64" si="10">J53+H54</f>
        <v>329851.37999999989</v>
      </c>
    </row>
    <row r="55" spans="1:10" x14ac:dyDescent="0.3">
      <c r="A55" s="4" t="s">
        <v>23</v>
      </c>
      <c r="B55" s="4" t="s">
        <v>39</v>
      </c>
      <c r="C55" s="4">
        <v>3</v>
      </c>
      <c r="D55" s="10">
        <v>6268303.2699999996</v>
      </c>
      <c r="E55" s="10">
        <v>6435399.8300000001</v>
      </c>
      <c r="F55" s="11" t="str">
        <f>IF(C55&lt;=fact_months,"",ROUND(D55*(1+Тренд!$B$10/100),2))</f>
        <v/>
      </c>
      <c r="G55" s="11">
        <f t="shared" si="6"/>
        <v>6435399.8300000001</v>
      </c>
      <c r="H55" s="11">
        <f t="shared" si="7"/>
        <v>167096.56000000052</v>
      </c>
      <c r="I55" s="12">
        <f t="shared" si="8"/>
        <v>2.6657382835913832E-2</v>
      </c>
      <c r="J55" s="11">
        <f t="shared" si="10"/>
        <v>496947.94000000041</v>
      </c>
    </row>
    <row r="56" spans="1:10" x14ac:dyDescent="0.3">
      <c r="A56" s="4" t="s">
        <v>23</v>
      </c>
      <c r="B56" s="4" t="s">
        <v>40</v>
      </c>
      <c r="C56" s="4">
        <v>4</v>
      </c>
      <c r="D56" s="10">
        <v>6164036</v>
      </c>
      <c r="E56" s="10">
        <v>6318011.6699999999</v>
      </c>
      <c r="F56" s="11" t="str">
        <f>IF(C56&lt;=fact_months,"",ROUND(D56*(1+Тренд!$B$10/100),2))</f>
        <v/>
      </c>
      <c r="G56" s="11">
        <f t="shared" si="6"/>
        <v>6318011.6699999999</v>
      </c>
      <c r="H56" s="11">
        <f t="shared" si="7"/>
        <v>153975.66999999993</v>
      </c>
      <c r="I56" s="12">
        <f t="shared" si="8"/>
        <v>2.4979683765636657E-2</v>
      </c>
      <c r="J56" s="11">
        <f t="shared" si="10"/>
        <v>650923.61000000034</v>
      </c>
    </row>
    <row r="57" spans="1:10" x14ac:dyDescent="0.3">
      <c r="A57" s="4" t="s">
        <v>23</v>
      </c>
      <c r="B57" s="4" t="s">
        <v>41</v>
      </c>
      <c r="C57" s="4">
        <v>5</v>
      </c>
      <c r="D57" s="10">
        <v>6047501.9800000004</v>
      </c>
      <c r="E57" s="10">
        <v>6196160.8200000003</v>
      </c>
      <c r="F57" s="11" t="str">
        <f>IF(C57&lt;=fact_months,"",ROUND(D57*(1+Тренд!$B$10/100),2))</f>
        <v/>
      </c>
      <c r="G57" s="11">
        <f t="shared" si="6"/>
        <v>6196160.8200000003</v>
      </c>
      <c r="H57" s="11">
        <f t="shared" si="7"/>
        <v>148658.83999999985</v>
      </c>
      <c r="I57" s="12">
        <f t="shared" si="8"/>
        <v>2.4581858838845696E-2</v>
      </c>
      <c r="J57" s="11">
        <f t="shared" si="10"/>
        <v>799582.45000000019</v>
      </c>
    </row>
    <row r="58" spans="1:10" x14ac:dyDescent="0.3">
      <c r="A58" s="4" t="s">
        <v>23</v>
      </c>
      <c r="B58" s="4" t="s">
        <v>42</v>
      </c>
      <c r="C58" s="4">
        <v>6</v>
      </c>
      <c r="D58" s="10">
        <v>5937101.3399999999</v>
      </c>
      <c r="E58" s="10">
        <v>6089920.9800000004</v>
      </c>
      <c r="F58" s="11" t="str">
        <f>IF(C58&lt;=fact_months,"",ROUND(D58*(1+Тренд!$B$10/100),2))</f>
        <v/>
      </c>
      <c r="G58" s="11">
        <f t="shared" si="6"/>
        <v>6089920.9800000004</v>
      </c>
      <c r="H58" s="11">
        <f t="shared" si="7"/>
        <v>152819.6400000006</v>
      </c>
      <c r="I58" s="12">
        <f t="shared" si="8"/>
        <v>2.5739772870375259E-2</v>
      </c>
      <c r="J58" s="11">
        <f t="shared" si="10"/>
        <v>952402.09000000078</v>
      </c>
    </row>
    <row r="59" spans="1:10" x14ac:dyDescent="0.3">
      <c r="A59" s="4" t="s">
        <v>23</v>
      </c>
      <c r="B59" s="4" t="s">
        <v>43</v>
      </c>
      <c r="C59" s="4">
        <v>7</v>
      </c>
      <c r="D59" s="10">
        <v>5900301.1200000001</v>
      </c>
      <c r="E59" s="10">
        <v>6050920.21</v>
      </c>
      <c r="F59" s="11" t="str">
        <f>IF(C59&lt;=fact_months,"",ROUND(D59*(1+Тренд!$B$10/100),2))</f>
        <v/>
      </c>
      <c r="G59" s="11">
        <f t="shared" si="6"/>
        <v>6050920.21</v>
      </c>
      <c r="H59" s="11">
        <f t="shared" si="7"/>
        <v>150619.08999999985</v>
      </c>
      <c r="I59" s="12">
        <f t="shared" si="8"/>
        <v>2.5527356474986117E-2</v>
      </c>
      <c r="J59" s="11">
        <f t="shared" si="10"/>
        <v>1103021.1800000006</v>
      </c>
    </row>
    <row r="60" spans="1:10" x14ac:dyDescent="0.3">
      <c r="A60" s="4" t="s">
        <v>23</v>
      </c>
      <c r="B60" s="4" t="s">
        <v>44</v>
      </c>
      <c r="C60" s="4">
        <v>8</v>
      </c>
      <c r="D60" s="10">
        <v>5912567.8600000003</v>
      </c>
      <c r="E60" s="10">
        <v>6058200.6399999997</v>
      </c>
      <c r="F60" s="11" t="str">
        <f>IF(C60&lt;=fact_months,"",ROUND(D60*(1+Тренд!$B$10/100),2))</f>
        <v/>
      </c>
      <c r="G60" s="11">
        <f t="shared" si="6"/>
        <v>6058200.6399999997</v>
      </c>
      <c r="H60" s="11">
        <f t="shared" si="7"/>
        <v>145632.77999999933</v>
      </c>
      <c r="I60" s="12">
        <f t="shared" si="8"/>
        <v>2.4631054297954275E-2</v>
      </c>
      <c r="J60" s="11">
        <f t="shared" si="10"/>
        <v>1248653.96</v>
      </c>
    </row>
    <row r="61" spans="1:10" x14ac:dyDescent="0.3">
      <c r="A61" s="4" t="s">
        <v>23</v>
      </c>
      <c r="B61" s="4" t="s">
        <v>45</v>
      </c>
      <c r="C61" s="4">
        <v>9</v>
      </c>
      <c r="D61" s="10">
        <v>6041368.6100000003</v>
      </c>
      <c r="E61" s="4"/>
      <c r="F61" s="11">
        <f>IF(C61&lt;=fact_months,"",ROUND(D61*(1+Тренд!$B$10/100),2))</f>
        <v>6197129.9800000004</v>
      </c>
      <c r="G61" s="11">
        <f t="shared" si="6"/>
        <v>6197129.9800000004</v>
      </c>
      <c r="H61" s="11">
        <f t="shared" si="7"/>
        <v>155761.37000000011</v>
      </c>
      <c r="I61" s="12">
        <f t="shared" si="8"/>
        <v>2.5782464215504987E-2</v>
      </c>
      <c r="J61" s="11">
        <f t="shared" si="10"/>
        <v>1404415.33</v>
      </c>
    </row>
    <row r="62" spans="1:10" x14ac:dyDescent="0.3">
      <c r="A62" s="4" t="s">
        <v>23</v>
      </c>
      <c r="B62" s="4" t="s">
        <v>46</v>
      </c>
      <c r="C62" s="4">
        <v>10</v>
      </c>
      <c r="D62" s="10">
        <v>6170169.3700000001</v>
      </c>
      <c r="E62" s="4"/>
      <c r="F62" s="11">
        <f>IF(C62&lt;=fact_months,"",ROUND(D62*(1+Тренд!$B$10/100),2))</f>
        <v>6329251.54</v>
      </c>
      <c r="G62" s="11">
        <f t="shared" si="6"/>
        <v>6329251.54</v>
      </c>
      <c r="H62" s="11">
        <f t="shared" si="7"/>
        <v>159082.16999999993</v>
      </c>
      <c r="I62" s="12">
        <f t="shared" si="8"/>
        <v>2.5782464055763826E-2</v>
      </c>
      <c r="J62" s="11">
        <f t="shared" si="10"/>
        <v>1563497.5</v>
      </c>
    </row>
    <row r="63" spans="1:10" x14ac:dyDescent="0.3">
      <c r="A63" s="4" t="s">
        <v>23</v>
      </c>
      <c r="B63" s="4" t="s">
        <v>47</v>
      </c>
      <c r="C63" s="4">
        <v>11</v>
      </c>
      <c r="D63" s="10">
        <v>6219236.3200000003</v>
      </c>
      <c r="E63" s="4"/>
      <c r="F63" s="11">
        <f>IF(C63&lt;=fact_months,"",ROUND(D63*(1+Тренд!$B$10/100),2))</f>
        <v>6379583.5599999996</v>
      </c>
      <c r="G63" s="11">
        <f t="shared" si="6"/>
        <v>6379583.5599999996</v>
      </c>
      <c r="H63" s="11">
        <f t="shared" si="7"/>
        <v>160347.23999999929</v>
      </c>
      <c r="I63" s="12">
        <f t="shared" si="8"/>
        <v>2.5782464558285072E-2</v>
      </c>
      <c r="J63" s="11">
        <f t="shared" si="10"/>
        <v>1723844.7399999993</v>
      </c>
    </row>
    <row r="64" spans="1:10" x14ac:dyDescent="0.3">
      <c r="A64" s="4" t="s">
        <v>23</v>
      </c>
      <c r="B64" s="4" t="s">
        <v>48</v>
      </c>
      <c r="C64" s="4">
        <v>12</v>
      </c>
      <c r="D64" s="10">
        <v>6225369.6900000004</v>
      </c>
      <c r="E64" s="4"/>
      <c r="F64" s="11">
        <f>IF(C64&lt;=fact_months,"",ROUND(D64*(1+Тренд!$B$10/100),2))</f>
        <v>6385875.0599999996</v>
      </c>
      <c r="G64" s="11">
        <f t="shared" si="6"/>
        <v>6385875.0599999996</v>
      </c>
      <c r="H64" s="11">
        <f t="shared" si="7"/>
        <v>160505.36999999918</v>
      </c>
      <c r="I64" s="12">
        <f t="shared" si="8"/>
        <v>2.5782464012992484E-2</v>
      </c>
      <c r="J64" s="11">
        <f t="shared" si="10"/>
        <v>1884350.1099999985</v>
      </c>
    </row>
    <row r="65" spans="1:10" x14ac:dyDescent="0.3">
      <c r="A65" s="4" t="s">
        <v>24</v>
      </c>
      <c r="B65" s="4" t="s">
        <v>37</v>
      </c>
      <c r="C65" s="4">
        <v>1</v>
      </c>
      <c r="D65" s="10">
        <v>3714881.59</v>
      </c>
      <c r="E65" s="10">
        <v>3801484.98</v>
      </c>
      <c r="F65" s="11" t="str">
        <f>IF(C65&lt;=fact_months,"",ROUND(D65*(1+Тренд!$B$11/100),2))</f>
        <v/>
      </c>
      <c r="G65" s="11">
        <f t="shared" si="6"/>
        <v>3801484.98</v>
      </c>
      <c r="H65" s="11">
        <f t="shared" si="7"/>
        <v>86603.39000000013</v>
      </c>
      <c r="I65" s="12">
        <f t="shared" si="8"/>
        <v>2.3312557318953504E-2</v>
      </c>
      <c r="J65" s="11">
        <f>H65</f>
        <v>86603.39000000013</v>
      </c>
    </row>
    <row r="66" spans="1:10" x14ac:dyDescent="0.3">
      <c r="A66" s="4" t="s">
        <v>24</v>
      </c>
      <c r="B66" s="4" t="s">
        <v>38</v>
      </c>
      <c r="C66" s="4">
        <v>2</v>
      </c>
      <c r="D66" s="10">
        <v>3704144.94</v>
      </c>
      <c r="E66" s="10">
        <v>3790555.36</v>
      </c>
      <c r="F66" s="11" t="str">
        <f>IF(C66&lt;=fact_months,"",ROUND(D66*(1+Тренд!$B$11/100),2))</f>
        <v/>
      </c>
      <c r="G66" s="11">
        <f t="shared" si="6"/>
        <v>3790555.36</v>
      </c>
      <c r="H66" s="11">
        <f t="shared" si="7"/>
        <v>86410.419999999925</v>
      </c>
      <c r="I66" s="12">
        <f t="shared" si="8"/>
        <v>2.3328034242634126E-2</v>
      </c>
      <c r="J66" s="11">
        <f t="shared" ref="J66:J76" si="11">J65+H66</f>
        <v>173013.81000000006</v>
      </c>
    </row>
    <row r="67" spans="1:10" x14ac:dyDescent="0.3">
      <c r="A67" s="4" t="s">
        <v>24</v>
      </c>
      <c r="B67" s="4" t="s">
        <v>39</v>
      </c>
      <c r="C67" s="4">
        <v>3</v>
      </c>
      <c r="D67" s="10">
        <v>3657619.45</v>
      </c>
      <c r="E67" s="10">
        <v>3743488</v>
      </c>
      <c r="F67" s="11" t="str">
        <f>IF(C67&lt;=fact_months,"",ROUND(D67*(1+Тренд!$B$11/100),2))</f>
        <v/>
      </c>
      <c r="G67" s="11">
        <f t="shared" si="6"/>
        <v>3743488</v>
      </c>
      <c r="H67" s="11">
        <f t="shared" si="7"/>
        <v>85868.549999999814</v>
      </c>
      <c r="I67" s="12">
        <f t="shared" si="8"/>
        <v>2.3476622205735431E-2</v>
      </c>
      <c r="J67" s="11">
        <f t="shared" si="11"/>
        <v>258882.35999999987</v>
      </c>
    </row>
    <row r="68" spans="1:10" x14ac:dyDescent="0.3">
      <c r="A68" s="4" t="s">
        <v>24</v>
      </c>
      <c r="B68" s="4" t="s">
        <v>40</v>
      </c>
      <c r="C68" s="4">
        <v>4</v>
      </c>
      <c r="D68" s="10">
        <v>3596778.42</v>
      </c>
      <c r="E68" s="10">
        <v>3674243.52</v>
      </c>
      <c r="F68" s="11" t="str">
        <f>IF(C68&lt;=fact_months,"",ROUND(D68*(1+Тренд!$B$11/100),2))</f>
        <v/>
      </c>
      <c r="G68" s="11">
        <f t="shared" si="6"/>
        <v>3674243.52</v>
      </c>
      <c r="H68" s="11">
        <f t="shared" si="7"/>
        <v>77465.100000000093</v>
      </c>
      <c r="I68" s="12">
        <f t="shared" si="8"/>
        <v>2.1537356754937408E-2</v>
      </c>
      <c r="J68" s="11">
        <f t="shared" si="11"/>
        <v>336347.45999999996</v>
      </c>
    </row>
    <row r="69" spans="1:10" x14ac:dyDescent="0.3">
      <c r="A69" s="4" t="s">
        <v>24</v>
      </c>
      <c r="B69" s="4" t="s">
        <v>41</v>
      </c>
      <c r="C69" s="4">
        <v>5</v>
      </c>
      <c r="D69" s="10">
        <v>3528779.63</v>
      </c>
      <c r="E69" s="10">
        <v>3602958.98</v>
      </c>
      <c r="F69" s="11" t="str">
        <f>IF(C69&lt;=fact_months,"",ROUND(D69*(1+Тренд!$B$11/100),2))</f>
        <v/>
      </c>
      <c r="G69" s="11">
        <f t="shared" ref="G69:G100" si="12">IF(C69&lt;=fact_months,E69,F69)</f>
        <v>3602958.98</v>
      </c>
      <c r="H69" s="11">
        <f t="shared" ref="H69:H100" si="13">G69-D69</f>
        <v>74179.350000000093</v>
      </c>
      <c r="I69" s="12">
        <f t="shared" ref="I69:I100" si="14">IF(D69=0,"",H69/D69)</f>
        <v>2.1021247507031233E-2</v>
      </c>
      <c r="J69" s="11">
        <f t="shared" si="11"/>
        <v>410526.81000000006</v>
      </c>
    </row>
    <row r="70" spans="1:10" x14ac:dyDescent="0.3">
      <c r="A70" s="4" t="s">
        <v>24</v>
      </c>
      <c r="B70" s="4" t="s">
        <v>42</v>
      </c>
      <c r="C70" s="4">
        <v>6</v>
      </c>
      <c r="D70" s="10">
        <v>3464359.71</v>
      </c>
      <c r="E70" s="10">
        <v>3536358.56</v>
      </c>
      <c r="F70" s="11" t="str">
        <f>IF(C70&lt;=fact_months,"",ROUND(D70*(1+Тренд!$B$11/100),2))</f>
        <v/>
      </c>
      <c r="G70" s="11">
        <f t="shared" si="12"/>
        <v>3536358.56</v>
      </c>
      <c r="H70" s="11">
        <f t="shared" si="13"/>
        <v>71998.850000000093</v>
      </c>
      <c r="I70" s="12">
        <f t="shared" si="14"/>
        <v>2.0782729285348977E-2</v>
      </c>
      <c r="J70" s="11">
        <f t="shared" si="11"/>
        <v>482525.66000000015</v>
      </c>
    </row>
    <row r="71" spans="1:10" x14ac:dyDescent="0.3">
      <c r="A71" s="4" t="s">
        <v>24</v>
      </c>
      <c r="B71" s="4" t="s">
        <v>43</v>
      </c>
      <c r="C71" s="4">
        <v>7</v>
      </c>
      <c r="D71" s="10">
        <v>3442886.41</v>
      </c>
      <c r="E71" s="10">
        <v>3521996.42</v>
      </c>
      <c r="F71" s="11" t="str">
        <f>IF(C71&lt;=fact_months,"",ROUND(D71*(1+Тренд!$B$11/100),2))</f>
        <v/>
      </c>
      <c r="G71" s="11">
        <f t="shared" si="12"/>
        <v>3521996.42</v>
      </c>
      <c r="H71" s="11">
        <f t="shared" si="13"/>
        <v>79110.009999999776</v>
      </c>
      <c r="I71" s="12">
        <f t="shared" si="14"/>
        <v>2.2977815872815791E-2</v>
      </c>
      <c r="J71" s="11">
        <f t="shared" si="11"/>
        <v>561635.66999999993</v>
      </c>
    </row>
    <row r="72" spans="1:10" x14ac:dyDescent="0.3">
      <c r="A72" s="4" t="s">
        <v>24</v>
      </c>
      <c r="B72" s="4" t="s">
        <v>44</v>
      </c>
      <c r="C72" s="4">
        <v>8</v>
      </c>
      <c r="D72" s="10">
        <v>3450044.18</v>
      </c>
      <c r="E72" s="10">
        <v>3529530.45</v>
      </c>
      <c r="F72" s="11" t="str">
        <f>IF(C72&lt;=fact_months,"",ROUND(D72*(1+Тренд!$B$11/100),2))</f>
        <v/>
      </c>
      <c r="G72" s="11">
        <f t="shared" si="12"/>
        <v>3529530.45</v>
      </c>
      <c r="H72" s="11">
        <f t="shared" si="13"/>
        <v>79486.270000000019</v>
      </c>
      <c r="I72" s="12">
        <f t="shared" si="14"/>
        <v>2.3039203515359045E-2</v>
      </c>
      <c r="J72" s="11">
        <f t="shared" si="11"/>
        <v>641121.93999999994</v>
      </c>
    </row>
    <row r="73" spans="1:10" x14ac:dyDescent="0.3">
      <c r="A73" s="4" t="s">
        <v>24</v>
      </c>
      <c r="B73" s="4" t="s">
        <v>45</v>
      </c>
      <c r="C73" s="4">
        <v>9</v>
      </c>
      <c r="D73" s="10">
        <v>3525200.74</v>
      </c>
      <c r="E73" s="4"/>
      <c r="F73" s="11">
        <f>IF(C73&lt;=fact_months,"",ROUND(D73*(1+Тренд!$B$11/100),2))</f>
        <v>3603183.02</v>
      </c>
      <c r="G73" s="11">
        <f t="shared" si="12"/>
        <v>3603183.02</v>
      </c>
      <c r="H73" s="11">
        <f t="shared" si="13"/>
        <v>77982.279999999795</v>
      </c>
      <c r="I73" s="12">
        <f t="shared" si="14"/>
        <v>2.2121372866839857E-2</v>
      </c>
      <c r="J73" s="11">
        <f t="shared" si="11"/>
        <v>719104.21999999974</v>
      </c>
    </row>
    <row r="74" spans="1:10" x14ac:dyDescent="0.3">
      <c r="A74" s="4" t="s">
        <v>24</v>
      </c>
      <c r="B74" s="4" t="s">
        <v>46</v>
      </c>
      <c r="C74" s="4">
        <v>10</v>
      </c>
      <c r="D74" s="10">
        <v>3600357.31</v>
      </c>
      <c r="E74" s="4"/>
      <c r="F74" s="11">
        <f>IF(C74&lt;=fact_months,"",ROUND(D74*(1+Тренд!$B$11/100),2))</f>
        <v>3680002.15</v>
      </c>
      <c r="G74" s="11">
        <f t="shared" si="12"/>
        <v>3680002.15</v>
      </c>
      <c r="H74" s="11">
        <f t="shared" si="13"/>
        <v>79644.839999999851</v>
      </c>
      <c r="I74" s="12">
        <f t="shared" si="14"/>
        <v>2.2121371059140752E-2</v>
      </c>
      <c r="J74" s="11">
        <f t="shared" si="11"/>
        <v>798749.05999999959</v>
      </c>
    </row>
    <row r="75" spans="1:10" x14ac:dyDescent="0.3">
      <c r="A75" s="4" t="s">
        <v>24</v>
      </c>
      <c r="B75" s="4" t="s">
        <v>47</v>
      </c>
      <c r="C75" s="4">
        <v>11</v>
      </c>
      <c r="D75" s="10">
        <v>3628988.38</v>
      </c>
      <c r="E75" s="4"/>
      <c r="F75" s="11">
        <f>IF(C75&lt;=fact_months,"",ROUND(D75*(1+Тренд!$B$11/100),2))</f>
        <v>3709266.58</v>
      </c>
      <c r="G75" s="11">
        <f t="shared" si="12"/>
        <v>3709266.58</v>
      </c>
      <c r="H75" s="11">
        <f t="shared" si="13"/>
        <v>80278.200000000186</v>
      </c>
      <c r="I75" s="12">
        <f t="shared" si="14"/>
        <v>2.2121371466061347E-2</v>
      </c>
      <c r="J75" s="11">
        <f t="shared" si="11"/>
        <v>879027.25999999978</v>
      </c>
    </row>
    <row r="76" spans="1:10" x14ac:dyDescent="0.3">
      <c r="A76" s="4" t="s">
        <v>24</v>
      </c>
      <c r="B76" s="4" t="s">
        <v>48</v>
      </c>
      <c r="C76" s="4">
        <v>12</v>
      </c>
      <c r="D76" s="10">
        <v>3632567.26</v>
      </c>
      <c r="E76" s="4"/>
      <c r="F76" s="11">
        <f>IF(C76&lt;=fact_months,"",ROUND(D76*(1+Тренд!$B$11/100),2))</f>
        <v>3712924.63</v>
      </c>
      <c r="G76" s="11">
        <f t="shared" si="12"/>
        <v>3712924.63</v>
      </c>
      <c r="H76" s="11">
        <f t="shared" si="13"/>
        <v>80357.370000000112</v>
      </c>
      <c r="I76" s="12">
        <f t="shared" si="14"/>
        <v>2.2121371539311874E-2</v>
      </c>
      <c r="J76" s="11">
        <f t="shared" si="11"/>
        <v>959384.62999999989</v>
      </c>
    </row>
    <row r="77" spans="1:10" x14ac:dyDescent="0.3">
      <c r="A77" s="4" t="s">
        <v>25</v>
      </c>
      <c r="B77" s="4" t="s">
        <v>37</v>
      </c>
      <c r="C77" s="4">
        <v>1</v>
      </c>
      <c r="D77" s="10">
        <v>2423451.2799999998</v>
      </c>
      <c r="E77" s="10">
        <v>2390886.84</v>
      </c>
      <c r="F77" s="11" t="str">
        <f>IF(C77&lt;=fact_months,"",ROUND(D77*(1+Тренд!$B$12/100),2))</f>
        <v/>
      </c>
      <c r="G77" s="11">
        <f t="shared" si="12"/>
        <v>2390886.84</v>
      </c>
      <c r="H77" s="11">
        <f t="shared" si="13"/>
        <v>-32564.439999999944</v>
      </c>
      <c r="I77" s="12">
        <f t="shared" si="14"/>
        <v>-1.3437216695356857E-2</v>
      </c>
      <c r="J77" s="11">
        <f>H77</f>
        <v>-32564.439999999944</v>
      </c>
    </row>
    <row r="78" spans="1:10" x14ac:dyDescent="0.3">
      <c r="A78" s="4" t="s">
        <v>25</v>
      </c>
      <c r="B78" s="4" t="s">
        <v>38</v>
      </c>
      <c r="C78" s="4">
        <v>2</v>
      </c>
      <c r="D78" s="10">
        <v>2416447.09</v>
      </c>
      <c r="E78" s="10">
        <v>2385175.59</v>
      </c>
      <c r="F78" s="11" t="str">
        <f>IF(C78&lt;=fact_months,"",ROUND(D78*(1+Тренд!$B$12/100),2))</f>
        <v/>
      </c>
      <c r="G78" s="11">
        <f t="shared" si="12"/>
        <v>2385175.59</v>
      </c>
      <c r="H78" s="11">
        <f t="shared" si="13"/>
        <v>-31271.5</v>
      </c>
      <c r="I78" s="12">
        <f t="shared" si="14"/>
        <v>-1.294110685452666E-2</v>
      </c>
      <c r="J78" s="11">
        <f t="shared" ref="J78:J88" si="15">J77+H78</f>
        <v>-63835.939999999944</v>
      </c>
    </row>
    <row r="79" spans="1:10" x14ac:dyDescent="0.3">
      <c r="A79" s="4" t="s">
        <v>25</v>
      </c>
      <c r="B79" s="4" t="s">
        <v>39</v>
      </c>
      <c r="C79" s="4">
        <v>3</v>
      </c>
      <c r="D79" s="10">
        <v>2386095.58</v>
      </c>
      <c r="E79" s="10">
        <v>2359439.9300000002</v>
      </c>
      <c r="F79" s="11" t="str">
        <f>IF(C79&lt;=fact_months,"",ROUND(D79*(1+Тренд!$B$12/100),2))</f>
        <v/>
      </c>
      <c r="G79" s="11">
        <f t="shared" si="12"/>
        <v>2359439.9300000002</v>
      </c>
      <c r="H79" s="11">
        <f t="shared" si="13"/>
        <v>-26655.649999999907</v>
      </c>
      <c r="I79" s="12">
        <f t="shared" si="14"/>
        <v>-1.1171241514139139E-2</v>
      </c>
      <c r="J79" s="11">
        <f t="shared" si="15"/>
        <v>-90491.589999999851</v>
      </c>
    </row>
    <row r="80" spans="1:10" x14ac:dyDescent="0.3">
      <c r="A80" s="4" t="s">
        <v>25</v>
      </c>
      <c r="B80" s="4" t="s">
        <v>40</v>
      </c>
      <c r="C80" s="4">
        <v>4</v>
      </c>
      <c r="D80" s="10">
        <v>2346405.14</v>
      </c>
      <c r="E80" s="10">
        <v>2313659.7200000002</v>
      </c>
      <c r="F80" s="11" t="str">
        <f>IF(C80&lt;=fact_months,"",ROUND(D80*(1+Тренд!$B$12/100),2))</f>
        <v/>
      </c>
      <c r="G80" s="11">
        <f t="shared" si="12"/>
        <v>2313659.7200000002</v>
      </c>
      <c r="H80" s="11">
        <f t="shared" si="13"/>
        <v>-32745.419999999925</v>
      </c>
      <c r="I80" s="12">
        <f t="shared" si="14"/>
        <v>-1.3955569497260786E-2</v>
      </c>
      <c r="J80" s="11">
        <f t="shared" si="15"/>
        <v>-123237.00999999978</v>
      </c>
    </row>
    <row r="81" spans="1:10" x14ac:dyDescent="0.3">
      <c r="A81" s="4" t="s">
        <v>25</v>
      </c>
      <c r="B81" s="4" t="s">
        <v>41</v>
      </c>
      <c r="C81" s="4">
        <v>5</v>
      </c>
      <c r="D81" s="10">
        <v>2302045.2400000002</v>
      </c>
      <c r="E81" s="10">
        <v>2270583.11</v>
      </c>
      <c r="F81" s="11" t="str">
        <f>IF(C81&lt;=fact_months,"",ROUND(D81*(1+Тренд!$B$12/100),2))</f>
        <v/>
      </c>
      <c r="G81" s="11">
        <f t="shared" si="12"/>
        <v>2270583.11</v>
      </c>
      <c r="H81" s="11">
        <f t="shared" si="13"/>
        <v>-31462.130000000354</v>
      </c>
      <c r="I81" s="12">
        <f t="shared" si="14"/>
        <v>-1.3667033754732097E-2</v>
      </c>
      <c r="J81" s="11">
        <f t="shared" si="15"/>
        <v>-154699.14000000013</v>
      </c>
    </row>
    <row r="82" spans="1:10" x14ac:dyDescent="0.3">
      <c r="A82" s="4" t="s">
        <v>25</v>
      </c>
      <c r="B82" s="4" t="s">
        <v>42</v>
      </c>
      <c r="C82" s="4">
        <v>6</v>
      </c>
      <c r="D82" s="10">
        <v>2260020.08</v>
      </c>
      <c r="E82" s="10">
        <v>2231129</v>
      </c>
      <c r="F82" s="11" t="str">
        <f>IF(C82&lt;=fact_months,"",ROUND(D82*(1+Тренд!$B$12/100),2))</f>
        <v/>
      </c>
      <c r="G82" s="11">
        <f t="shared" si="12"/>
        <v>2231129</v>
      </c>
      <c r="H82" s="11">
        <f t="shared" si="13"/>
        <v>-28891.080000000075</v>
      </c>
      <c r="I82" s="12">
        <f t="shared" si="14"/>
        <v>-1.2783550135536881E-2</v>
      </c>
      <c r="J82" s="11">
        <f t="shared" si="15"/>
        <v>-183590.2200000002</v>
      </c>
    </row>
    <row r="83" spans="1:10" x14ac:dyDescent="0.3">
      <c r="A83" s="4" t="s">
        <v>25</v>
      </c>
      <c r="B83" s="4" t="s">
        <v>43</v>
      </c>
      <c r="C83" s="4">
        <v>7</v>
      </c>
      <c r="D83" s="10">
        <v>2246011.69</v>
      </c>
      <c r="E83" s="10">
        <v>2220204.37</v>
      </c>
      <c r="F83" s="11" t="str">
        <f>IF(C83&lt;=fact_months,"",ROUND(D83*(1+Тренд!$B$12/100),2))</f>
        <v/>
      </c>
      <c r="G83" s="11">
        <f t="shared" si="12"/>
        <v>2220204.37</v>
      </c>
      <c r="H83" s="11">
        <f t="shared" si="13"/>
        <v>-25807.319999999832</v>
      </c>
      <c r="I83" s="12">
        <f t="shared" si="14"/>
        <v>-1.1490287479313981E-2</v>
      </c>
      <c r="J83" s="11">
        <f t="shared" si="15"/>
        <v>-209397.54000000004</v>
      </c>
    </row>
    <row r="84" spans="1:10" x14ac:dyDescent="0.3">
      <c r="A84" s="4" t="s">
        <v>25</v>
      </c>
      <c r="B84" s="4" t="s">
        <v>44</v>
      </c>
      <c r="C84" s="4">
        <v>8</v>
      </c>
      <c r="D84" s="10">
        <v>2250681.15</v>
      </c>
      <c r="E84" s="10">
        <v>2224492.91</v>
      </c>
      <c r="F84" s="11" t="str">
        <f>IF(C84&lt;=fact_months,"",ROUND(D84*(1+Тренд!$B$12/100),2))</f>
        <v/>
      </c>
      <c r="G84" s="11">
        <f t="shared" si="12"/>
        <v>2224492.91</v>
      </c>
      <c r="H84" s="11">
        <f t="shared" si="13"/>
        <v>-26188.239999999758</v>
      </c>
      <c r="I84" s="12">
        <f t="shared" si="14"/>
        <v>-1.1635695264964456E-2</v>
      </c>
      <c r="J84" s="11">
        <f t="shared" si="15"/>
        <v>-235585.7799999998</v>
      </c>
    </row>
    <row r="85" spans="1:10" x14ac:dyDescent="0.3">
      <c r="A85" s="4" t="s">
        <v>25</v>
      </c>
      <c r="B85" s="4" t="s">
        <v>45</v>
      </c>
      <c r="C85" s="4">
        <v>9</v>
      </c>
      <c r="D85" s="10">
        <v>2299710.5099999998</v>
      </c>
      <c r="E85" s="4"/>
      <c r="F85" s="11">
        <f>IF(C85&lt;=fact_months,"",ROUND(D85*(1+Тренд!$B$12/100),2))</f>
        <v>2270972.73</v>
      </c>
      <c r="G85" s="11">
        <f t="shared" si="12"/>
        <v>2270972.73</v>
      </c>
      <c r="H85" s="11">
        <f t="shared" si="13"/>
        <v>-28737.779999999795</v>
      </c>
      <c r="I85" s="12">
        <f t="shared" si="14"/>
        <v>-1.249625980097808E-2</v>
      </c>
      <c r="J85" s="11">
        <f t="shared" si="15"/>
        <v>-264323.55999999959</v>
      </c>
    </row>
    <row r="86" spans="1:10" x14ac:dyDescent="0.3">
      <c r="A86" s="4" t="s">
        <v>25</v>
      </c>
      <c r="B86" s="4" t="s">
        <v>46</v>
      </c>
      <c r="C86" s="4">
        <v>10</v>
      </c>
      <c r="D86" s="10">
        <v>2348739.87</v>
      </c>
      <c r="E86" s="4"/>
      <c r="F86" s="11">
        <f>IF(C86&lt;=fact_months,"",ROUND(D86*(1+Тренд!$B$12/100),2))</f>
        <v>2319389.41</v>
      </c>
      <c r="G86" s="11">
        <f t="shared" si="12"/>
        <v>2319389.41</v>
      </c>
      <c r="H86" s="11">
        <f t="shared" si="13"/>
        <v>-29350.459999999963</v>
      </c>
      <c r="I86" s="12">
        <f t="shared" si="14"/>
        <v>-1.2496258259540663E-2</v>
      </c>
      <c r="J86" s="11">
        <f t="shared" si="15"/>
        <v>-293674.01999999955</v>
      </c>
    </row>
    <row r="87" spans="1:10" x14ac:dyDescent="0.3">
      <c r="A87" s="4" t="s">
        <v>25</v>
      </c>
      <c r="B87" s="4" t="s">
        <v>47</v>
      </c>
      <c r="C87" s="4">
        <v>11</v>
      </c>
      <c r="D87" s="10">
        <v>2367417.73</v>
      </c>
      <c r="E87" s="4"/>
      <c r="F87" s="11">
        <f>IF(C87&lt;=fact_months,"",ROUND(D87*(1+Тренд!$B$12/100),2))</f>
        <v>2337833.87</v>
      </c>
      <c r="G87" s="11">
        <f t="shared" si="12"/>
        <v>2337833.87</v>
      </c>
      <c r="H87" s="11">
        <f t="shared" si="13"/>
        <v>-29583.85999999987</v>
      </c>
      <c r="I87" s="12">
        <f t="shared" si="14"/>
        <v>-1.2496256839303079E-2</v>
      </c>
      <c r="J87" s="11">
        <f t="shared" si="15"/>
        <v>-323257.87999999942</v>
      </c>
    </row>
    <row r="88" spans="1:10" x14ac:dyDescent="0.3">
      <c r="A88" s="4" t="s">
        <v>25</v>
      </c>
      <c r="B88" s="4" t="s">
        <v>48</v>
      </c>
      <c r="C88" s="4">
        <v>12</v>
      </c>
      <c r="D88" s="10">
        <v>2369752.46</v>
      </c>
      <c r="E88" s="4"/>
      <c r="F88" s="11">
        <f>IF(C88&lt;=fact_months,"",ROUND(D88*(1+Тренд!$B$12/100),2))</f>
        <v>2340139.42</v>
      </c>
      <c r="G88" s="11">
        <f t="shared" si="12"/>
        <v>2340139.42</v>
      </c>
      <c r="H88" s="11">
        <f t="shared" si="13"/>
        <v>-29613.040000000037</v>
      </c>
      <c r="I88" s="12">
        <f t="shared" si="14"/>
        <v>-1.2496258786455711E-2</v>
      </c>
      <c r="J88" s="11">
        <f t="shared" si="15"/>
        <v>-352870.91999999946</v>
      </c>
    </row>
  </sheetData>
  <autoFilter ref="A4:J88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10" customWidth="1"/>
    <col min="2" max="2" width="5" customWidth="1"/>
    <col min="3" max="5" width="16" customWidth="1"/>
    <col min="6" max="6" width="13" customWidth="1"/>
    <col min="7" max="7" width="16" customWidth="1"/>
  </cols>
  <sheetData>
    <row r="1" spans="1:7" ht="17.399999999999999" x14ac:dyDescent="0.35">
      <c r="A1" s="1" t="s">
        <v>49</v>
      </c>
    </row>
    <row r="2" spans="1:7" x14ac:dyDescent="0.3">
      <c r="A2" s="19" t="s">
        <v>50</v>
      </c>
      <c r="B2" s="20"/>
      <c r="C2" s="20"/>
      <c r="D2" s="20"/>
      <c r="E2" s="20"/>
      <c r="F2" s="20"/>
      <c r="G2" s="20"/>
    </row>
    <row r="3" spans="1:7" x14ac:dyDescent="0.3">
      <c r="A3" s="20"/>
      <c r="B3" s="20"/>
      <c r="C3" s="20"/>
      <c r="D3" s="20"/>
      <c r="E3" s="20"/>
      <c r="F3" s="20"/>
      <c r="G3" s="20"/>
    </row>
    <row r="5" spans="1:7" ht="30" customHeight="1" x14ac:dyDescent="0.3">
      <c r="A5" s="3" t="s">
        <v>28</v>
      </c>
      <c r="B5" s="3" t="s">
        <v>29</v>
      </c>
      <c r="C5" s="3" t="s">
        <v>30</v>
      </c>
      <c r="D5" s="3" t="s">
        <v>33</v>
      </c>
      <c r="E5" s="3" t="s">
        <v>34</v>
      </c>
      <c r="F5" s="3" t="s">
        <v>35</v>
      </c>
      <c r="G5" s="3" t="s">
        <v>36</v>
      </c>
    </row>
    <row r="6" spans="1:7" x14ac:dyDescent="0.3">
      <c r="A6" s="4" t="s">
        <v>37</v>
      </c>
      <c r="B6" s="4">
        <v>1</v>
      </c>
      <c r="C6" s="11">
        <f>SUMIF(Данные!$C$5:$C$88,$B6,Данные!$D$5:$D$88)</f>
        <v>45079426.700000003</v>
      </c>
      <c r="D6" s="11">
        <f>SUMIF(Данные!$C$5:$C$88,$B6,Данные!$G$5:$G$88)</f>
        <v>46746694.920000002</v>
      </c>
      <c r="E6" s="11">
        <f t="shared" ref="E6:E17" si="0">D6-C6</f>
        <v>1667268.2199999988</v>
      </c>
      <c r="F6" s="12">
        <f t="shared" ref="F6:F18" si="1">E6/C6</f>
        <v>3.6985124746495471E-2</v>
      </c>
      <c r="G6" s="11">
        <f>E6</f>
        <v>1667268.2199999988</v>
      </c>
    </row>
    <row r="7" spans="1:7" x14ac:dyDescent="0.3">
      <c r="A7" s="4" t="s">
        <v>38</v>
      </c>
      <c r="B7" s="4">
        <v>2</v>
      </c>
      <c r="C7" s="11">
        <f>SUMIF(Данные!$C$5:$C$88,$B7,Данные!$D$5:$D$88)</f>
        <v>44949139.340000004</v>
      </c>
      <c r="D7" s="11">
        <f>SUMIF(Данные!$C$5:$C$88,$B7,Данные!$G$5:$G$88)</f>
        <v>46641832.780000001</v>
      </c>
      <c r="E7" s="11">
        <f t="shared" si="0"/>
        <v>1692693.4399999976</v>
      </c>
      <c r="F7" s="12">
        <f t="shared" si="1"/>
        <v>3.7657972207126966E-2</v>
      </c>
      <c r="G7" s="11">
        <f t="shared" ref="G7:G17" si="2">G6+E7</f>
        <v>3359961.6599999964</v>
      </c>
    </row>
    <row r="8" spans="1:7" x14ac:dyDescent="0.3">
      <c r="A8" s="4" t="s">
        <v>39</v>
      </c>
      <c r="B8" s="4">
        <v>3</v>
      </c>
      <c r="C8" s="11">
        <f>SUMIF(Данные!$C$5:$C$88,$B8,Данные!$D$5:$D$88)</f>
        <v>44384560.789999999</v>
      </c>
      <c r="D8" s="11">
        <f>SUMIF(Данные!$C$5:$C$88,$B8,Данные!$G$5:$G$88)</f>
        <v>46063714.379999995</v>
      </c>
      <c r="E8" s="11">
        <f t="shared" si="0"/>
        <v>1679153.5899999961</v>
      </c>
      <c r="F8" s="12">
        <f t="shared" si="1"/>
        <v>3.7831929844810257E-2</v>
      </c>
      <c r="G8" s="11">
        <f t="shared" si="2"/>
        <v>5039115.2499999925</v>
      </c>
    </row>
    <row r="9" spans="1:7" x14ac:dyDescent="0.3">
      <c r="A9" s="4" t="s">
        <v>40</v>
      </c>
      <c r="B9" s="4">
        <v>4</v>
      </c>
      <c r="C9" s="11">
        <f>SUMIF(Данные!$C$5:$C$88,$B9,Данные!$D$5:$D$88)</f>
        <v>43646265.730000004</v>
      </c>
      <c r="D9" s="11">
        <f>SUMIF(Данные!$C$5:$C$88,$B9,Данные!$G$5:$G$88)</f>
        <v>45267505.829999998</v>
      </c>
      <c r="E9" s="11">
        <f t="shared" si="0"/>
        <v>1621240.099999994</v>
      </c>
      <c r="F9" s="12">
        <f t="shared" si="1"/>
        <v>3.7144989906562481E-2</v>
      </c>
      <c r="G9" s="11">
        <f t="shared" si="2"/>
        <v>6660355.3499999866</v>
      </c>
    </row>
    <row r="10" spans="1:7" x14ac:dyDescent="0.3">
      <c r="A10" s="4" t="s">
        <v>41</v>
      </c>
      <c r="B10" s="4">
        <v>5</v>
      </c>
      <c r="C10" s="11">
        <f>SUMIF(Данные!$C$5:$C$88,$B10,Данные!$D$5:$D$88)</f>
        <v>42821112.450000003</v>
      </c>
      <c r="D10" s="11">
        <f>SUMIF(Данные!$C$5:$C$88,$B10,Данные!$G$5:$G$88)</f>
        <v>44425079.890000001</v>
      </c>
      <c r="E10" s="11">
        <f t="shared" si="0"/>
        <v>1603967.4399999976</v>
      </c>
      <c r="F10" s="12">
        <f t="shared" si="1"/>
        <v>3.7457397723444655E-2</v>
      </c>
      <c r="G10" s="11">
        <f t="shared" si="2"/>
        <v>8264322.7899999842</v>
      </c>
    </row>
    <row r="11" spans="1:7" x14ac:dyDescent="0.3">
      <c r="A11" s="4" t="s">
        <v>42</v>
      </c>
      <c r="B11" s="4">
        <v>6</v>
      </c>
      <c r="C11" s="11">
        <f>SUMIF(Данные!$C$5:$C$88,$B11,Данные!$D$5:$D$88)</f>
        <v>42039388.289999999</v>
      </c>
      <c r="D11" s="11">
        <f>SUMIF(Данные!$C$5:$C$88,$B11,Данные!$G$5:$G$88)</f>
        <v>43595395.650000006</v>
      </c>
      <c r="E11" s="11">
        <f t="shared" si="0"/>
        <v>1556007.3600000069</v>
      </c>
      <c r="F11" s="12">
        <f t="shared" si="1"/>
        <v>3.7013082808584487E-2</v>
      </c>
      <c r="G11" s="11">
        <f t="shared" si="2"/>
        <v>9820330.1499999911</v>
      </c>
    </row>
    <row r="12" spans="1:7" x14ac:dyDescent="0.3">
      <c r="A12" s="4" t="s">
        <v>43</v>
      </c>
      <c r="B12" s="4">
        <v>7</v>
      </c>
      <c r="C12" s="11">
        <f>SUMIF(Данные!$C$5:$C$88,$B12,Данные!$D$5:$D$88)</f>
        <v>41778813.569999993</v>
      </c>
      <c r="D12" s="11">
        <f>SUMIF(Данные!$C$5:$C$88,$B12,Данные!$G$5:$G$88)</f>
        <v>43358209.109999999</v>
      </c>
      <c r="E12" s="11">
        <f t="shared" si="0"/>
        <v>1579395.5400000066</v>
      </c>
      <c r="F12" s="12">
        <f t="shared" si="1"/>
        <v>3.7803743214338645E-2</v>
      </c>
      <c r="G12" s="11">
        <f t="shared" si="2"/>
        <v>11399725.689999998</v>
      </c>
    </row>
    <row r="13" spans="1:7" x14ac:dyDescent="0.3">
      <c r="A13" s="4" t="s">
        <v>44</v>
      </c>
      <c r="B13" s="4">
        <v>8</v>
      </c>
      <c r="C13" s="11">
        <f>SUMIF(Данные!$C$5:$C$88,$B13,Данные!$D$5:$D$88)</f>
        <v>41865671.809999995</v>
      </c>
      <c r="D13" s="11">
        <f>SUMIF(Данные!$C$5:$C$88,$B13,Данные!$G$5:$G$88)</f>
        <v>43437526.189999998</v>
      </c>
      <c r="E13" s="11">
        <f t="shared" si="0"/>
        <v>1571854.3800000027</v>
      </c>
      <c r="F13" s="12">
        <f t="shared" si="1"/>
        <v>3.7545184683374672E-2</v>
      </c>
      <c r="G13" s="11">
        <f t="shared" si="2"/>
        <v>12971580.07</v>
      </c>
    </row>
    <row r="14" spans="1:7" x14ac:dyDescent="0.3">
      <c r="A14" s="4" t="s">
        <v>45</v>
      </c>
      <c r="B14" s="4">
        <v>9</v>
      </c>
      <c r="C14" s="11">
        <f>SUMIF(Данные!$C$5:$C$88,$B14,Данные!$D$5:$D$88)</f>
        <v>42777683.329999998</v>
      </c>
      <c r="D14" s="11">
        <f>SUMIF(Данные!$C$5:$C$88,$B14,Данные!$G$5:$G$88)</f>
        <v>44379700.350000009</v>
      </c>
      <c r="E14" s="11">
        <f t="shared" si="0"/>
        <v>1602017.0200000107</v>
      </c>
      <c r="F14" s="12">
        <f t="shared" si="1"/>
        <v>3.7449831203844458E-2</v>
      </c>
      <c r="G14" s="11">
        <f t="shared" si="2"/>
        <v>14573597.090000011</v>
      </c>
    </row>
    <row r="15" spans="1:7" x14ac:dyDescent="0.3">
      <c r="A15" s="4" t="s">
        <v>46</v>
      </c>
      <c r="B15" s="4">
        <v>10</v>
      </c>
      <c r="C15" s="11">
        <f>SUMIF(Данные!$C$5:$C$88,$B15,Данные!$D$5:$D$88)</f>
        <v>43689694.859999999</v>
      </c>
      <c r="D15" s="11">
        <f>SUMIF(Данные!$C$5:$C$88,$B15,Данные!$G$5:$G$88)</f>
        <v>45325866.560000002</v>
      </c>
      <c r="E15" s="11">
        <f t="shared" si="0"/>
        <v>1636171.700000003</v>
      </c>
      <c r="F15" s="12">
        <f t="shared" si="1"/>
        <v>3.7449831252952884E-2</v>
      </c>
      <c r="G15" s="11">
        <f t="shared" si="2"/>
        <v>16209768.790000014</v>
      </c>
    </row>
    <row r="16" spans="1:7" x14ac:dyDescent="0.3">
      <c r="A16" s="4" t="s">
        <v>47</v>
      </c>
      <c r="B16" s="4">
        <v>11</v>
      </c>
      <c r="C16" s="11">
        <f>SUMIF(Данные!$C$5:$C$88,$B16,Данные!$D$5:$D$88)</f>
        <v>44037127.82</v>
      </c>
      <c r="D16" s="11">
        <f>SUMIF(Данные!$C$5:$C$88,$B16,Данные!$G$5:$G$88)</f>
        <v>45686310.829999998</v>
      </c>
      <c r="E16" s="11">
        <f t="shared" si="0"/>
        <v>1649183.0099999979</v>
      </c>
      <c r="F16" s="12">
        <f t="shared" si="1"/>
        <v>3.7449831350059151E-2</v>
      </c>
      <c r="G16" s="11">
        <f t="shared" si="2"/>
        <v>17858951.800000012</v>
      </c>
    </row>
    <row r="17" spans="1:7" x14ac:dyDescent="0.3">
      <c r="A17" s="4" t="s">
        <v>48</v>
      </c>
      <c r="B17" s="4">
        <v>12</v>
      </c>
      <c r="C17" s="11">
        <f>SUMIF(Данные!$C$5:$C$88,$B17,Данные!$D$5:$D$88)</f>
        <v>44080556.939999998</v>
      </c>
      <c r="D17" s="11">
        <f>SUMIF(Данные!$C$5:$C$88,$B17,Данные!$G$5:$G$88)</f>
        <v>45731366.350000001</v>
      </c>
      <c r="E17" s="11">
        <f t="shared" si="0"/>
        <v>1650809.4100000039</v>
      </c>
      <c r="F17" s="12">
        <f t="shared" si="1"/>
        <v>3.7449831050161045E-2</v>
      </c>
      <c r="G17" s="11">
        <f t="shared" si="2"/>
        <v>19509761.210000016</v>
      </c>
    </row>
    <row r="18" spans="1:7" x14ac:dyDescent="0.3">
      <c r="A18" s="8" t="s">
        <v>51</v>
      </c>
      <c r="C18" s="13">
        <f>SUM(C6:C17)</f>
        <v>521149441.63</v>
      </c>
      <c r="D18" s="13">
        <f>SUM(D6:D17)</f>
        <v>540659202.83999991</v>
      </c>
      <c r="E18" s="13">
        <f>SUM(E6:E17)</f>
        <v>19509761.210000016</v>
      </c>
      <c r="F18" s="14">
        <f t="shared" si="1"/>
        <v>3.7436020556751055E-2</v>
      </c>
    </row>
  </sheetData>
  <mergeCells count="1">
    <mergeCell ref="A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3" width="17" customWidth="1"/>
    <col min="4" max="4" width="16" customWidth="1"/>
    <col min="5" max="5" width="13" customWidth="1"/>
    <col min="6" max="6" width="16" customWidth="1"/>
    <col min="7" max="8" width="17" customWidth="1"/>
    <col min="9" max="9" width="10" customWidth="1"/>
  </cols>
  <sheetData>
    <row r="1" spans="1:9" ht="17.399999999999999" x14ac:dyDescent="0.35">
      <c r="A1" s="1" t="s">
        <v>52</v>
      </c>
    </row>
    <row r="2" spans="1:9" x14ac:dyDescent="0.3">
      <c r="A2" s="2" t="s">
        <v>53</v>
      </c>
    </row>
    <row r="4" spans="1:9" ht="30" customHeight="1" x14ac:dyDescent="0.3">
      <c r="A4" s="3" t="s">
        <v>17</v>
      </c>
      <c r="B4" s="3" t="s">
        <v>54</v>
      </c>
      <c r="C4" s="3" t="s">
        <v>55</v>
      </c>
      <c r="D4" s="3" t="s">
        <v>34</v>
      </c>
      <c r="E4" s="3" t="s">
        <v>35</v>
      </c>
      <c r="F4" s="3" t="s">
        <v>56</v>
      </c>
      <c r="G4" s="3" t="s">
        <v>57</v>
      </c>
      <c r="H4" s="3" t="s">
        <v>58</v>
      </c>
      <c r="I4" s="3" t="s">
        <v>59</v>
      </c>
    </row>
    <row r="5" spans="1:9" x14ac:dyDescent="0.3">
      <c r="A5" s="4" t="s">
        <v>19</v>
      </c>
      <c r="B5" s="11">
        <f>SUMIF(Данные!$C$5:$C$16,"&lt;="&amp;fact_months,Данные!$D$5:$D$16)</f>
        <v>84110959.030000001</v>
      </c>
      <c r="C5" s="11">
        <f>SUMIF(Данные!$C$5:$C$16,"&lt;="&amp;fact_months,Данные!$E$5:$E$16)</f>
        <v>86611489.210000008</v>
      </c>
      <c r="D5" s="11">
        <f t="shared" ref="D5:D11" si="0">C5-B5</f>
        <v>2500530.1800000072</v>
      </c>
      <c r="E5" s="12">
        <f t="shared" ref="E5:E12" si="1">D5/B5</f>
        <v>2.9728946249538524E-2</v>
      </c>
      <c r="F5" s="11">
        <f>SUM(Данные!$D$5:$D$16)</f>
        <v>126482645.16</v>
      </c>
      <c r="G5" s="11">
        <f>SUM(Данные!$G$5:$G$16)</f>
        <v>130242680.16</v>
      </c>
      <c r="H5" s="11">
        <f t="shared" ref="H5:H11" si="2">G5-F5</f>
        <v>3760035</v>
      </c>
      <c r="I5" s="12">
        <f t="shared" ref="I5:I12" si="3">H5/F5</f>
        <v>2.9727675249387551E-2</v>
      </c>
    </row>
    <row r="6" spans="1:9" x14ac:dyDescent="0.3">
      <c r="A6" s="4" t="s">
        <v>20</v>
      </c>
      <c r="B6" s="11">
        <f>SUMIF(Данные!$C$17:$C$28,"&lt;="&amp;fact_months,Данные!$D$17:$D$28)</f>
        <v>61124647.560000002</v>
      </c>
      <c r="C6" s="11">
        <f>SUMIF(Данные!$C$17:$C$28,"&lt;="&amp;fact_months,Данные!$E$17:$E$28)</f>
        <v>66954736.800000004</v>
      </c>
      <c r="D6" s="11">
        <f t="shared" si="0"/>
        <v>5830089.2400000021</v>
      </c>
      <c r="E6" s="12">
        <f t="shared" si="1"/>
        <v>9.5380333019952093E-2</v>
      </c>
      <c r="F6" s="11">
        <f>SUM(Данные!$D$17:$D$28)</f>
        <v>91916763.239999995</v>
      </c>
      <c r="G6" s="11">
        <f>SUM(Данные!$G$17:$G$28)</f>
        <v>100690111.03000002</v>
      </c>
      <c r="H6" s="11">
        <f t="shared" si="2"/>
        <v>8773347.7900000215</v>
      </c>
      <c r="I6" s="12">
        <f t="shared" si="3"/>
        <v>9.5448833060976068E-2</v>
      </c>
    </row>
    <row r="7" spans="1:9" x14ac:dyDescent="0.3">
      <c r="A7" s="4" t="s">
        <v>21</v>
      </c>
      <c r="B7" s="11">
        <f>SUMIF(Данные!$C$29:$C$40,"&lt;="&amp;fact_months,Данные!$D$29:$D$40)</f>
        <v>53958012.430000007</v>
      </c>
      <c r="C7" s="11">
        <f>SUMIF(Данные!$C$29:$C$40,"&lt;="&amp;fact_months,Данные!$E$29:$E$40)</f>
        <v>55446330.839999996</v>
      </c>
      <c r="D7" s="11">
        <f t="shared" si="0"/>
        <v>1488318.409999989</v>
      </c>
      <c r="E7" s="12">
        <f t="shared" si="1"/>
        <v>2.7582899053792829E-2</v>
      </c>
      <c r="F7" s="11">
        <f>SUM(Данные!$D$29:$D$40)</f>
        <v>81139868.320000008</v>
      </c>
      <c r="G7" s="11">
        <f>SUM(Данные!$G$29:$G$40)</f>
        <v>83368773.359999999</v>
      </c>
      <c r="H7" s="11">
        <f t="shared" si="2"/>
        <v>2228905.0399999917</v>
      </c>
      <c r="I7" s="12">
        <f t="shared" si="3"/>
        <v>2.7469911969903865E-2</v>
      </c>
    </row>
    <row r="8" spans="1:9" x14ac:dyDescent="0.3">
      <c r="A8" s="4" t="s">
        <v>22</v>
      </c>
      <c r="B8" s="11">
        <f>SUMIF(Данные!$C$41:$C$52,"&lt;="&amp;fact_months,Данные!$D$41:$D$52)</f>
        <v>51235822.259999998</v>
      </c>
      <c r="C8" s="11">
        <f>SUMIF(Данные!$C$41:$C$52,"&lt;="&amp;fact_months,Данные!$E$41:$E$52)</f>
        <v>52734274.379999995</v>
      </c>
      <c r="D8" s="11">
        <f t="shared" si="0"/>
        <v>1498452.1199999973</v>
      </c>
      <c r="E8" s="12">
        <f t="shared" si="1"/>
        <v>2.9246180775551731E-2</v>
      </c>
      <c r="F8" s="11">
        <f>SUM(Данные!$D$41:$D$52)</f>
        <v>77046349.260000005</v>
      </c>
      <c r="G8" s="11">
        <f>SUM(Данные!$G$41:$G$52)</f>
        <v>79302958.819999993</v>
      </c>
      <c r="H8" s="11">
        <f t="shared" si="2"/>
        <v>2256609.5599999875</v>
      </c>
      <c r="I8" s="12">
        <f t="shared" si="3"/>
        <v>2.9288987494850025E-2</v>
      </c>
    </row>
    <row r="9" spans="1:9" x14ac:dyDescent="0.3">
      <c r="A9" s="4" t="s">
        <v>23</v>
      </c>
      <c r="B9" s="11">
        <f>SUMIF(Данные!$C$53:$C$64,"&lt;="&amp;fact_months,Данные!$D$53:$D$64)</f>
        <v>48944285.82</v>
      </c>
      <c r="C9" s="11">
        <f>SUMIF(Данные!$C$53:$C$64,"&lt;="&amp;fact_months,Данные!$E$53:$E$64)</f>
        <v>50192939.780000009</v>
      </c>
      <c r="D9" s="11">
        <f t="shared" si="0"/>
        <v>1248653.9600000083</v>
      </c>
      <c r="E9" s="12">
        <f t="shared" si="1"/>
        <v>2.5511741341821225E-2</v>
      </c>
      <c r="F9" s="11">
        <f>SUM(Данные!$D$53:$D$64)</f>
        <v>73600429.810000002</v>
      </c>
      <c r="G9" s="11">
        <f>SUM(Данные!$G$53:$G$64)</f>
        <v>75484779.920000002</v>
      </c>
      <c r="H9" s="11">
        <f t="shared" si="2"/>
        <v>1884350.1099999994</v>
      </c>
      <c r="I9" s="12">
        <f t="shared" si="3"/>
        <v>2.5602433502962711E-2</v>
      </c>
    </row>
    <row r="10" spans="1:9" x14ac:dyDescent="0.3">
      <c r="A10" s="4" t="s">
        <v>24</v>
      </c>
      <c r="B10" s="11">
        <f>SUMIF(Данные!$C$65:$C$76,"&lt;="&amp;fact_months,Данные!$D$65:$D$76)</f>
        <v>28559494.330000002</v>
      </c>
      <c r="C10" s="11">
        <f>SUMIF(Данные!$C$65:$C$76,"&lt;="&amp;fact_months,Данные!$E$65:$E$76)</f>
        <v>29200616.27</v>
      </c>
      <c r="D10" s="11">
        <f t="shared" si="0"/>
        <v>641121.93999999762</v>
      </c>
      <c r="E10" s="12">
        <f t="shared" si="1"/>
        <v>2.2448644664080704E-2</v>
      </c>
      <c r="F10" s="11">
        <f>SUM(Данные!$D$65:$D$76)</f>
        <v>42946608.020000003</v>
      </c>
      <c r="G10" s="11">
        <f>SUM(Данные!$G$65:$G$76)</f>
        <v>43905992.649999999</v>
      </c>
      <c r="H10" s="11">
        <f t="shared" si="2"/>
        <v>959384.62999999523</v>
      </c>
      <c r="I10" s="12">
        <f t="shared" si="3"/>
        <v>2.233900822978185E-2</v>
      </c>
    </row>
    <row r="11" spans="1:9" x14ac:dyDescent="0.3">
      <c r="A11" s="4" t="s">
        <v>25</v>
      </c>
      <c r="B11" s="11">
        <f>SUMIF(Данные!$C$77:$C$88,"&lt;="&amp;fact_months,Данные!$D$77:$D$88)</f>
        <v>18631157.25</v>
      </c>
      <c r="C11" s="11">
        <f>SUMIF(Данные!$C$77:$C$88,"&lt;="&amp;fact_months,Данные!$E$77:$E$88)</f>
        <v>18395571.469999999</v>
      </c>
      <c r="D11" s="11">
        <f t="shared" si="0"/>
        <v>-235585.78000000119</v>
      </c>
      <c r="E11" s="12">
        <f t="shared" si="1"/>
        <v>-1.2644720713738873E-2</v>
      </c>
      <c r="F11" s="11">
        <f>SUM(Данные!$D$77:$D$88)</f>
        <v>28016777.82</v>
      </c>
      <c r="G11" s="11">
        <f>SUM(Данные!$G$77:$G$88)</f>
        <v>27663906.899999999</v>
      </c>
      <c r="H11" s="11">
        <f t="shared" si="2"/>
        <v>-352870.92000000179</v>
      </c>
      <c r="I11" s="12">
        <f t="shared" si="3"/>
        <v>-1.2594985842665394E-2</v>
      </c>
    </row>
    <row r="12" spans="1:9" x14ac:dyDescent="0.3">
      <c r="A12" s="8" t="s">
        <v>60</v>
      </c>
      <c r="B12" s="13">
        <f>SUM(B5:B11)</f>
        <v>346564378.68000001</v>
      </c>
      <c r="C12" s="13">
        <f>SUM(C5:C11)</f>
        <v>359535958.75</v>
      </c>
      <c r="D12" s="13">
        <f>SUM(D5:D11)</f>
        <v>12971580.07</v>
      </c>
      <c r="E12" s="14">
        <f t="shared" si="1"/>
        <v>3.7429063308255635E-2</v>
      </c>
      <c r="F12" s="13">
        <f>SUM(F5:F11)</f>
        <v>521149441.62999994</v>
      </c>
      <c r="G12" s="13">
        <f>SUM(G5:G11)</f>
        <v>540659202.84000003</v>
      </c>
      <c r="H12" s="13">
        <f>SUM(H5:H11)</f>
        <v>19509761.209999993</v>
      </c>
      <c r="I12" s="14">
        <f t="shared" si="3"/>
        <v>3.7436020556751021E-2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/>
  </sheetViews>
  <sheetFormatPr defaultRowHeight="14.4" x14ac:dyDescent="0.3"/>
  <cols>
    <col min="1" max="1" width="46" customWidth="1"/>
    <col min="2" max="3" width="20" customWidth="1"/>
    <col min="4" max="4" width="16" customWidth="1"/>
    <col min="5" max="5" width="8" customWidth="1"/>
  </cols>
  <sheetData>
    <row r="1" spans="1:5" ht="17.399999999999999" x14ac:dyDescent="0.35">
      <c r="A1" s="1" t="s">
        <v>61</v>
      </c>
      <c r="D1" s="2" t="s">
        <v>62</v>
      </c>
    </row>
    <row r="2" spans="1:5" x14ac:dyDescent="0.3">
      <c r="A2" s="2" t="s">
        <v>63</v>
      </c>
      <c r="D2" s="2" t="s">
        <v>64</v>
      </c>
      <c r="E2" s="2" t="s">
        <v>65</v>
      </c>
    </row>
    <row r="3" spans="1:5" x14ac:dyDescent="0.3">
      <c r="D3" s="2" t="s">
        <v>66</v>
      </c>
      <c r="E3" s="2" t="s">
        <v>67</v>
      </c>
    </row>
    <row r="4" spans="1:5" x14ac:dyDescent="0.3">
      <c r="A4" s="8" t="s">
        <v>68</v>
      </c>
      <c r="D4" s="2" t="s">
        <v>69</v>
      </c>
      <c r="E4" s="2" t="s">
        <v>70</v>
      </c>
    </row>
    <row r="5" spans="1:5" x14ac:dyDescent="0.3">
      <c r="A5" t="s">
        <v>71</v>
      </c>
      <c r="B5" s="11">
        <f>SUMIF(Месяцы!$B$6:$B$17,"&lt;="&amp;fact_months,Месяцы!$C$6:$C$17)</f>
        <v>346564378.68000001</v>
      </c>
      <c r="D5" s="2" t="s">
        <v>72</v>
      </c>
      <c r="E5" s="2" t="s">
        <v>73</v>
      </c>
    </row>
    <row r="6" spans="1:5" x14ac:dyDescent="0.3">
      <c r="A6" t="s">
        <v>74</v>
      </c>
      <c r="B6" s="11">
        <f>SUMIF(Месяцы!$B$6:$B$17,"&lt;="&amp;fact_months,Месяцы!$D$6:$D$17)</f>
        <v>359535958.74999994</v>
      </c>
      <c r="D6" s="2" t="s">
        <v>75</v>
      </c>
      <c r="E6" s="2" t="s">
        <v>76</v>
      </c>
    </row>
    <row r="7" spans="1:5" x14ac:dyDescent="0.3">
      <c r="A7" t="s">
        <v>77</v>
      </c>
      <c r="B7" s="11">
        <f>B6-B5</f>
        <v>12971580.069999933</v>
      </c>
      <c r="D7" s="2" t="s">
        <v>78</v>
      </c>
      <c r="E7" s="2" t="s">
        <v>79</v>
      </c>
    </row>
    <row r="8" spans="1:5" x14ac:dyDescent="0.3">
      <c r="A8" t="s">
        <v>80</v>
      </c>
      <c r="B8" s="12">
        <f>B7/B5</f>
        <v>3.7429063308255441E-2</v>
      </c>
      <c r="D8" s="2" t="s">
        <v>81</v>
      </c>
      <c r="E8" s="2" t="s">
        <v>82</v>
      </c>
    </row>
    <row r="9" spans="1:5" x14ac:dyDescent="0.3">
      <c r="D9" s="2" t="s">
        <v>83</v>
      </c>
      <c r="E9" s="2" t="s">
        <v>84</v>
      </c>
    </row>
    <row r="10" spans="1:5" x14ac:dyDescent="0.3">
      <c r="A10" s="8" t="s">
        <v>85</v>
      </c>
    </row>
    <row r="11" spans="1:5" x14ac:dyDescent="0.3">
      <c r="A11" t="s">
        <v>86</v>
      </c>
      <c r="B11" s="11">
        <f>B17-B5</f>
        <v>174585062.94999999</v>
      </c>
    </row>
    <row r="12" spans="1:5" x14ac:dyDescent="0.3">
      <c r="A12" t="s">
        <v>87</v>
      </c>
      <c r="B12" s="11">
        <f>B18-B6</f>
        <v>181123244.08999997</v>
      </c>
    </row>
    <row r="13" spans="1:5" x14ac:dyDescent="0.3">
      <c r="A13" t="s">
        <v>77</v>
      </c>
      <c r="B13" s="11">
        <f>B12-B11</f>
        <v>6538181.1399999857</v>
      </c>
    </row>
    <row r="14" spans="1:5" x14ac:dyDescent="0.3">
      <c r="A14" t="s">
        <v>80</v>
      </c>
      <c r="B14" s="12">
        <f>B13/B11</f>
        <v>3.7449831214211478E-2</v>
      </c>
    </row>
    <row r="16" spans="1:5" x14ac:dyDescent="0.3">
      <c r="A16" s="8" t="s">
        <v>88</v>
      </c>
    </row>
    <row r="17" spans="1:3" x14ac:dyDescent="0.3">
      <c r="A17" t="s">
        <v>86</v>
      </c>
      <c r="B17" s="11">
        <f>Месяцы!$C$18</f>
        <v>521149441.63</v>
      </c>
    </row>
    <row r="18" spans="1:3" x14ac:dyDescent="0.3">
      <c r="A18" t="s">
        <v>89</v>
      </c>
      <c r="B18" s="11">
        <f>Месяцы!$D$18</f>
        <v>540659202.83999991</v>
      </c>
    </row>
    <row r="19" spans="1:3" x14ac:dyDescent="0.3">
      <c r="A19" t="s">
        <v>77</v>
      </c>
      <c r="B19" s="11">
        <f>B18-B17</f>
        <v>19509761.209999919</v>
      </c>
    </row>
    <row r="20" spans="1:3" x14ac:dyDescent="0.3">
      <c r="A20" t="s">
        <v>80</v>
      </c>
      <c r="B20" s="12">
        <f>B19/B17</f>
        <v>3.7436020556750875E-2</v>
      </c>
    </row>
    <row r="21" spans="1:3" x14ac:dyDescent="0.3">
      <c r="A21" t="s">
        <v>90</v>
      </c>
      <c r="B21" s="15" t="str">
        <f>IF(B20&gt;=alert_threshold,"проблема","в пределах порога")</f>
        <v>проблема</v>
      </c>
    </row>
    <row r="23" spans="1:3" x14ac:dyDescent="0.3">
      <c r="A23" t="s">
        <v>91</v>
      </c>
      <c r="B23" s="15" t="str">
        <f>IFERROR(INDEX(Месяцы!$A$6:$A$17,MATCH(TRUE,INDEX(Месяцы!$G$6:$G$17&gt;0,0),0)),"нет")</f>
        <v>янв</v>
      </c>
    </row>
    <row r="25" spans="1:3" x14ac:dyDescent="0.3">
      <c r="A25" s="19" t="s">
        <v>92</v>
      </c>
      <c r="B25" s="20"/>
      <c r="C25" s="20"/>
    </row>
    <row r="26" spans="1:3" x14ac:dyDescent="0.3">
      <c r="A26" s="20"/>
      <c r="B26" s="20"/>
      <c r="C26" s="20"/>
    </row>
    <row r="27" spans="1:3" x14ac:dyDescent="0.3">
      <c r="A27" s="20"/>
      <c r="B27" s="20"/>
      <c r="C27" s="20"/>
    </row>
  </sheetData>
  <mergeCells count="1">
    <mergeCell ref="A25:C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workbookViewId="0"/>
  </sheetViews>
  <sheetFormatPr defaultRowHeight="14.4" x14ac:dyDescent="0.3"/>
  <cols>
    <col min="1" max="1" width="32" customWidth="1"/>
    <col min="2" max="2" width="110" customWidth="1"/>
  </cols>
  <sheetData>
    <row r="1" spans="1:2" ht="17.399999999999999" x14ac:dyDescent="0.35">
      <c r="A1" s="1" t="s">
        <v>93</v>
      </c>
    </row>
    <row r="3" spans="1:2" x14ac:dyDescent="0.3">
      <c r="A3" s="16" t="s">
        <v>94</v>
      </c>
    </row>
    <row r="4" spans="1:2" ht="13.95" customHeight="1" x14ac:dyDescent="0.3">
      <c r="A4" s="17" t="s">
        <v>95</v>
      </c>
      <c r="B4" s="18" t="s">
        <v>96</v>
      </c>
    </row>
    <row r="5" spans="1:2" ht="13.95" customHeight="1" x14ac:dyDescent="0.3">
      <c r="A5" s="17" t="s">
        <v>97</v>
      </c>
      <c r="B5" s="18" t="s">
        <v>98</v>
      </c>
    </row>
    <row r="6" spans="1:2" ht="13.95" customHeight="1" x14ac:dyDescent="0.3">
      <c r="A6" s="17" t="s">
        <v>99</v>
      </c>
      <c r="B6" s="18" t="s">
        <v>100</v>
      </c>
    </row>
    <row r="8" spans="1:2" x14ac:dyDescent="0.3">
      <c r="A8" s="16" t="s">
        <v>101</v>
      </c>
    </row>
    <row r="9" spans="1:2" ht="52.05" customHeight="1" x14ac:dyDescent="0.3">
      <c r="A9" s="17" t="s">
        <v>102</v>
      </c>
      <c r="B9" s="18" t="s">
        <v>103</v>
      </c>
    </row>
    <row r="10" spans="1:2" ht="39" customHeight="1" x14ac:dyDescent="0.3">
      <c r="A10" s="17" t="s">
        <v>104</v>
      </c>
      <c r="B10" s="18" t="s">
        <v>105</v>
      </c>
    </row>
    <row r="11" spans="1:2" ht="39" customHeight="1" x14ac:dyDescent="0.3">
      <c r="A11" s="17" t="s">
        <v>106</v>
      </c>
      <c r="B11" s="18" t="s">
        <v>107</v>
      </c>
    </row>
    <row r="12" spans="1:2" ht="13.95" customHeight="1" x14ac:dyDescent="0.3">
      <c r="A12" s="17" t="s">
        <v>108</v>
      </c>
      <c r="B12" s="18" t="s">
        <v>109</v>
      </c>
    </row>
    <row r="13" spans="1:2" ht="25.95" customHeight="1" x14ac:dyDescent="0.3">
      <c r="A13" s="17" t="s">
        <v>110</v>
      </c>
      <c r="B13" s="18" t="s">
        <v>111</v>
      </c>
    </row>
    <row r="15" spans="1:2" x14ac:dyDescent="0.3">
      <c r="A15" s="16" t="s">
        <v>112</v>
      </c>
    </row>
    <row r="16" spans="1:2" ht="13.95" customHeight="1" x14ac:dyDescent="0.3">
      <c r="A16" s="17" t="s">
        <v>113</v>
      </c>
      <c r="B16" s="18" t="s">
        <v>114</v>
      </c>
    </row>
    <row r="17" spans="1:2" ht="39" customHeight="1" x14ac:dyDescent="0.3">
      <c r="A17" s="17" t="s">
        <v>115</v>
      </c>
      <c r="B17" s="18" t="s">
        <v>116</v>
      </c>
    </row>
    <row r="19" spans="1:2" x14ac:dyDescent="0.3">
      <c r="A19" s="16" t="s">
        <v>117</v>
      </c>
    </row>
    <row r="20" spans="1:2" ht="25.95" customHeight="1" x14ac:dyDescent="0.3">
      <c r="A20" s="17" t="s">
        <v>118</v>
      </c>
      <c r="B20" s="18" t="s">
        <v>119</v>
      </c>
    </row>
    <row r="21" spans="1:2" ht="25.95" customHeight="1" x14ac:dyDescent="0.3">
      <c r="A21" s="17" t="s">
        <v>120</v>
      </c>
      <c r="B21" s="18" t="s">
        <v>121</v>
      </c>
    </row>
    <row r="22" spans="1:2" ht="25.95" customHeight="1" x14ac:dyDescent="0.3">
      <c r="A22" s="17" t="s">
        <v>122</v>
      </c>
      <c r="B22" s="18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Настройки</vt:lpstr>
      <vt:lpstr>Тренд</vt:lpstr>
      <vt:lpstr>Данные</vt:lpstr>
      <vt:lpstr>Месяцы</vt:lpstr>
      <vt:lpstr>Подразделения</vt:lpstr>
      <vt:lpstr>Итоги</vt:lpstr>
      <vt:lpstr>Пояснения</vt:lpstr>
      <vt:lpstr>alert_threshold</vt:lpstr>
      <vt:lpstr>fact_months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Dimitrova</cp:lastModifiedBy>
  <dcterms:created xsi:type="dcterms:W3CDTF">2026-10-28T11:26:08Z</dcterms:created>
  <dcterms:modified xsi:type="dcterms:W3CDTF">2026-10-28T11:26:11Z</dcterms:modified>
</cp:coreProperties>
</file>